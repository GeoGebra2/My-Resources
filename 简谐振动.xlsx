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<sst xmlns="http://schemas.openxmlformats.org/spreadsheetml/2006/main" count="15" uniqueCount="11">
  <si>
    <t>次数</t>
  </si>
  <si>
    <t>砝码增加量/g</t>
  </si>
  <si>
    <t>弹簧1伸长量/cm</t>
  </si>
  <si>
    <t>弹簧2伸长量/cm</t>
  </si>
  <si>
    <t>振子振幅/cm</t>
  </si>
  <si>
    <t>周期/s</t>
  </si>
  <si>
    <t>最大速度/（m/s）</t>
  </si>
  <si>
    <t>无垫片</t>
  </si>
  <si>
    <t>振子质量/g</t>
  </si>
  <si>
    <t>振子周期/s</t>
  </si>
  <si>
    <t>六个垫片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</si>
</sst>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zoomScale="115" zoomScaleNormal="115" workbookViewId="0">
      <selection activeCell="Q4" sqref="Q4"/>
    </sheetView>
  </sheetViews>
  <sheetFormatPr defaultColWidth="8.72727272727273" defaultRowHeight="14"/>
  <cols>
    <col min="2" max="2" width="16.0454545454545" customWidth="1"/>
    <col min="3" max="9" width="12.8181818181818"/>
  </cols>
  <sheetData>
    <row r="1" spans="2:9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2:8">
      <c r="B2" t="s">
        <v>1</v>
      </c>
      <c r="C2">
        <v>4.76</v>
      </c>
      <c r="D2">
        <v>4.77</v>
      </c>
      <c r="E2">
        <v>4.76</v>
      </c>
      <c r="F2">
        <v>4.79000000000001</v>
      </c>
      <c r="G2">
        <v>4.73999999999999</v>
      </c>
      <c r="H2">
        <v>4.67</v>
      </c>
    </row>
    <row r="3" spans="2:8">
      <c r="B3" t="s">
        <v>2</v>
      </c>
      <c r="C3">
        <v>2.01</v>
      </c>
      <c r="D3">
        <v>1.94</v>
      </c>
      <c r="E3">
        <v>2.08000000000001</v>
      </c>
      <c r="F3">
        <v>2.04</v>
      </c>
      <c r="G3">
        <v>1.9</v>
      </c>
      <c r="H3">
        <v>1.89</v>
      </c>
    </row>
    <row r="4" spans="2:8">
      <c r="B4" t="s">
        <v>3</v>
      </c>
      <c r="C4">
        <v>1.82</v>
      </c>
      <c r="D4">
        <v>1.94</v>
      </c>
      <c r="E4">
        <v>1.8</v>
      </c>
      <c r="F4">
        <v>2.05</v>
      </c>
      <c r="G4">
        <v>1.86</v>
      </c>
      <c r="H4">
        <v>1.76</v>
      </c>
    </row>
    <row r="5" spans="3:15">
      <c r="C5">
        <v>20</v>
      </c>
      <c r="D5" s="1">
        <v>24.7</v>
      </c>
      <c r="E5">
        <v>29.47</v>
      </c>
      <c r="F5">
        <v>34.23</v>
      </c>
      <c r="G5">
        <v>39.02</v>
      </c>
      <c r="H5">
        <v>43.76</v>
      </c>
      <c r="I5">
        <v>48.43</v>
      </c>
      <c r="J5">
        <f>D5-C5</f>
        <v>4.7</v>
      </c>
      <c r="K5">
        <f>E5-C5</f>
        <v>9.47</v>
      </c>
      <c r="L5">
        <f>F5-C5</f>
        <v>14.23</v>
      </c>
      <c r="M5">
        <f>G5-C5</f>
        <v>19.02</v>
      </c>
      <c r="N5">
        <f>H5-C5</f>
        <v>23.76</v>
      </c>
      <c r="O5">
        <f>I5-C5</f>
        <v>28.43</v>
      </c>
    </row>
    <row r="6" spans="3:15">
      <c r="C6">
        <v>36.85</v>
      </c>
      <c r="D6">
        <v>38.86</v>
      </c>
      <c r="E6">
        <v>40.8</v>
      </c>
      <c r="F6">
        <v>42.88</v>
      </c>
      <c r="G6">
        <v>44.92</v>
      </c>
      <c r="H6">
        <v>46.82</v>
      </c>
      <c r="I6">
        <v>48.71</v>
      </c>
      <c r="J6">
        <f>D6-C6</f>
        <v>2.01</v>
      </c>
      <c r="K6">
        <f>E6-C6</f>
        <v>3.95</v>
      </c>
      <c r="L6">
        <f>F6-C6</f>
        <v>6.03</v>
      </c>
      <c r="M6">
        <f>G6-C6</f>
        <v>8.07</v>
      </c>
      <c r="N6">
        <f>H6-C6</f>
        <v>9.97</v>
      </c>
      <c r="O6">
        <f>I6-C6</f>
        <v>11.86</v>
      </c>
    </row>
    <row r="7" spans="3:15">
      <c r="C7">
        <v>35.98</v>
      </c>
      <c r="D7">
        <v>37.8</v>
      </c>
      <c r="E7">
        <v>39.74</v>
      </c>
      <c r="F7">
        <v>41.54</v>
      </c>
      <c r="G7">
        <v>43.59</v>
      </c>
      <c r="H7">
        <v>45.45</v>
      </c>
      <c r="I7">
        <v>47.21</v>
      </c>
      <c r="J7">
        <f>D7-C7</f>
        <v>1.82</v>
      </c>
      <c r="K7">
        <f>E7-C7</f>
        <v>3.76</v>
      </c>
      <c r="L7">
        <f>F7-C7</f>
        <v>5.56</v>
      </c>
      <c r="M7">
        <f>G7-C7</f>
        <v>7.61000000000001</v>
      </c>
      <c r="N7">
        <f>H7-C7</f>
        <v>9.47000000000001</v>
      </c>
      <c r="O7">
        <f>I7-C7</f>
        <v>11.23</v>
      </c>
    </row>
    <row r="9" spans="2:8">
      <c r="B9" t="s">
        <v>4</v>
      </c>
      <c r="C9">
        <v>5</v>
      </c>
      <c r="D9">
        <v>10</v>
      </c>
      <c r="E9">
        <v>15</v>
      </c>
      <c r="F9">
        <v>20</v>
      </c>
      <c r="G9">
        <v>25</v>
      </c>
      <c r="H9">
        <v>30</v>
      </c>
    </row>
    <row r="10" spans="2:8">
      <c r="B10" t="s">
        <v>5</v>
      </c>
      <c r="C10">
        <v>0.997987</v>
      </c>
      <c r="D10">
        <v>0.998607</v>
      </c>
      <c r="E10">
        <v>0.998725</v>
      </c>
      <c r="F10">
        <v>0.998919</v>
      </c>
      <c r="G10">
        <v>0.998741</v>
      </c>
      <c r="H10">
        <v>0.998608</v>
      </c>
    </row>
    <row r="12" spans="2:8">
      <c r="B12" t="s">
        <v>4</v>
      </c>
      <c r="C12">
        <v>5</v>
      </c>
      <c r="D12">
        <v>10</v>
      </c>
      <c r="E12">
        <v>15</v>
      </c>
      <c r="F12">
        <v>20</v>
      </c>
      <c r="G12">
        <v>25</v>
      </c>
      <c r="H12">
        <v>30</v>
      </c>
    </row>
    <row r="13" spans="2:8">
      <c r="B13" t="s">
        <v>6</v>
      </c>
      <c r="C13">
        <v>0.3462</v>
      </c>
      <c r="D13">
        <v>0.6232</v>
      </c>
      <c r="E13">
        <v>0.8867</v>
      </c>
      <c r="F13">
        <v>1.189</v>
      </c>
      <c r="G13">
        <v>1.4748</v>
      </c>
      <c r="H13">
        <v>1.7846</v>
      </c>
    </row>
    <row r="14" spans="3:8">
      <c r="C14">
        <f t="shared" ref="C14:H14" si="0">C13^2</f>
        <v>0.11985444</v>
      </c>
      <c r="D14">
        <f t="shared" si="0"/>
        <v>0.38837824</v>
      </c>
      <c r="E14">
        <f t="shared" si="0"/>
        <v>0.78623689</v>
      </c>
      <c r="F14">
        <f t="shared" si="0"/>
        <v>1.413721</v>
      </c>
      <c r="G14">
        <f t="shared" si="0"/>
        <v>2.17503504</v>
      </c>
      <c r="H14">
        <f t="shared" si="0"/>
        <v>3.18479716</v>
      </c>
    </row>
    <row r="15" spans="1:9">
      <c r="A15" s="2" t="s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</row>
    <row r="16" spans="1:9">
      <c r="A16" s="2" t="s">
        <v>7</v>
      </c>
      <c r="B16" t="s">
        <v>8</v>
      </c>
      <c r="C16">
        <v>117.39</v>
      </c>
      <c r="D16">
        <v>122.75</v>
      </c>
      <c r="E16">
        <v>126.92</v>
      </c>
      <c r="F16">
        <v>131.68</v>
      </c>
      <c r="G16">
        <v>136.74</v>
      </c>
      <c r="H16">
        <v>141.21</v>
      </c>
      <c r="I16">
        <v>145.88</v>
      </c>
    </row>
    <row r="17" spans="1:9">
      <c r="A17" s="2"/>
      <c r="B17" t="s">
        <v>9</v>
      </c>
      <c r="C17">
        <v>0.997989</v>
      </c>
      <c r="D17">
        <v>1.01781</v>
      </c>
      <c r="E17">
        <v>1.03627</v>
      </c>
      <c r="F17">
        <v>1.05413</v>
      </c>
      <c r="G17">
        <v>1.07254</v>
      </c>
      <c r="H17">
        <v>1.09033</v>
      </c>
      <c r="I17">
        <v>1.10725</v>
      </c>
    </row>
    <row r="18" spans="1:9">
      <c r="A18" s="2" t="s">
        <v>10</v>
      </c>
      <c r="B18" t="s">
        <v>8</v>
      </c>
      <c r="C18">
        <v>117.39</v>
      </c>
      <c r="D18">
        <v>112.75</v>
      </c>
      <c r="E18">
        <v>126.92</v>
      </c>
      <c r="F18">
        <v>131.68</v>
      </c>
      <c r="G18">
        <v>136.74</v>
      </c>
      <c r="H18">
        <v>141.21</v>
      </c>
      <c r="I18">
        <v>145.88</v>
      </c>
    </row>
    <row r="19" spans="1:9">
      <c r="A19" s="2"/>
      <c r="B19" t="s">
        <v>9</v>
      </c>
      <c r="C19">
        <v>0.99902</v>
      </c>
      <c r="D19">
        <v>1.0179</v>
      </c>
      <c r="E19">
        <v>1.03667</v>
      </c>
      <c r="F19">
        <v>1.05487</v>
      </c>
      <c r="G19">
        <v>1.07245</v>
      </c>
      <c r="H19">
        <v>1.09005</v>
      </c>
      <c r="I19">
        <v>1.10753</v>
      </c>
    </row>
    <row r="21" spans="3:9">
      <c r="C21">
        <f>C17^2</f>
        <v>0.995982044121</v>
      </c>
      <c r="D21">
        <f t="shared" ref="D21:I21" si="1">D17^2</f>
        <v>1.0359371961</v>
      </c>
      <c r="E21">
        <f t="shared" si="1"/>
        <v>1.0738555129</v>
      </c>
      <c r="F21">
        <f t="shared" si="1"/>
        <v>1.1111900569</v>
      </c>
      <c r="G21">
        <f t="shared" si="1"/>
        <v>1.1503420516</v>
      </c>
      <c r="H21">
        <f t="shared" si="1"/>
        <v>1.1888195089</v>
      </c>
      <c r="I21">
        <f t="shared" si="1"/>
        <v>1.2260025625</v>
      </c>
    </row>
    <row r="22" spans="3:9">
      <c r="C22">
        <f t="shared" ref="C22:I22" si="2">C19^2</f>
        <v>0.9980409604</v>
      </c>
      <c r="D22">
        <f t="shared" si="2"/>
        <v>1.03612041</v>
      </c>
      <c r="E22">
        <f t="shared" si="2"/>
        <v>1.0746846889</v>
      </c>
      <c r="F22">
        <f t="shared" si="2"/>
        <v>1.1127507169</v>
      </c>
      <c r="G22">
        <f t="shared" si="2"/>
        <v>1.1501490025</v>
      </c>
      <c r="H22">
        <f t="shared" si="2"/>
        <v>1.1882090025</v>
      </c>
      <c r="I22">
        <f t="shared" si="2"/>
        <v>1.2266227009</v>
      </c>
    </row>
    <row r="24" spans="3:9">
      <c r="C24">
        <v>0.995982044121</v>
      </c>
      <c r="D24">
        <v>1.0359371961</v>
      </c>
      <c r="E24">
        <v>1.0738555129</v>
      </c>
      <c r="F24">
        <v>1.1111900569</v>
      </c>
      <c r="G24">
        <v>1.1503420516</v>
      </c>
      <c r="H24">
        <v>1.1888195089</v>
      </c>
      <c r="I24">
        <v>1.2260025625</v>
      </c>
    </row>
    <row r="25" spans="3:9">
      <c r="C25">
        <v>0.9980409604</v>
      </c>
      <c r="D25">
        <v>1.16186841</v>
      </c>
      <c r="E25">
        <v>1.0746846889</v>
      </c>
      <c r="F25">
        <v>1.1127507169</v>
      </c>
      <c r="G25">
        <v>1.1501490025</v>
      </c>
      <c r="H25">
        <v>1.1882090025</v>
      </c>
      <c r="I25">
        <v>1.2266227009</v>
      </c>
    </row>
  </sheetData>
  <mergeCells count="3">
    <mergeCell ref="A15:B15"/>
    <mergeCell ref="A16:A17"/>
    <mergeCell ref="A18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2024-03-16T07:38:00Z</dcterms:created>
  <dcterms:modified xsi:type="dcterms:W3CDTF">2024-03-19T10:49:03Z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63A134AF0AAB46059773AE30B4552699_11</vt:lpwstr>
  </property>
  <property fmtid="{D5CDD505-2E9C-101B-9397-08002B2CF9AE}" pid="3" name="KSOProductBuildVer">
    <vt:lpwstr>2052-12.1.0.15712</vt:lpwstr>
  </property>
</Properties>
</file>