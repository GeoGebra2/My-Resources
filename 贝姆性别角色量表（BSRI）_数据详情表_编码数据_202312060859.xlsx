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编码数据_202312060859_0" sheetId="1" r:id="rId1"/>
    <sheet name="文本编码对照表" sheetId="2" r:id="rId2"/>
  </sheets>
  <definedNames>
    <definedName name="_xlnm._FilterDatabase" localSheetId="0" hidden="1">编码数据_202312060859_0!$X:$Z</definedName>
  </definedNames>
  <calcPr calcId="144525"/>
</workbook>
</file>

<file path=xl/sharedStrings.xml><?xml version="1.0" encoding="utf-8"?>
<sst xmlns="http://schemas.openxmlformats.org/spreadsheetml/2006/main" count="235" uniqueCount="96">
  <si>
    <t>答题序号</t>
  </si>
  <si>
    <t>有爱心</t>
  </si>
  <si>
    <t>顺从</t>
  </si>
  <si>
    <t>活泼可爱</t>
  </si>
  <si>
    <t>爱慕虚荣</t>
  </si>
  <si>
    <t>有同情心</t>
  </si>
  <si>
    <t>善解人意</t>
  </si>
  <si>
    <t>温柔</t>
  </si>
  <si>
    <t>柔弱</t>
  </si>
  <si>
    <t>喜爱孩子</t>
  </si>
  <si>
    <t>轻声细语</t>
  </si>
  <si>
    <t>领导派头</t>
  </si>
  <si>
    <t>喜欢冒险</t>
  </si>
  <si>
    <t>胸怀大志</t>
  </si>
  <si>
    <t>坚持己见</t>
  </si>
  <si>
    <t>善于分析</t>
  </si>
  <si>
    <t>个性强</t>
  </si>
  <si>
    <t>处事果断</t>
  </si>
  <si>
    <t>自我满足</t>
  </si>
  <si>
    <t>阳刚</t>
  </si>
  <si>
    <t>独立</t>
  </si>
  <si>
    <t>男性化得分</t>
  </si>
  <si>
    <t>女性化得分</t>
  </si>
  <si>
    <t>性别</t>
  </si>
  <si>
    <t>类型</t>
  </si>
  <si>
    <t>女</t>
  </si>
  <si>
    <t>女性化</t>
  </si>
  <si>
    <t>接近女性化</t>
  </si>
  <si>
    <t>双性化</t>
  </si>
  <si>
    <t>接近男性化</t>
  </si>
  <si>
    <t>男性化</t>
  </si>
  <si>
    <t>总体</t>
  </si>
  <si>
    <t>男</t>
  </si>
  <si>
    <t>Q1</t>
  </si>
  <si>
    <t>您的性别：</t>
  </si>
  <si>
    <t>性别题</t>
  </si>
  <si>
    <t>本题选项:</t>
  </si>
  <si>
    <t>1</t>
  </si>
  <si>
    <t>2</t>
  </si>
  <si>
    <t>Q2</t>
  </si>
  <si>
    <t>请根据我们提供的标准对自己的下列性格特质评分</t>
  </si>
  <si>
    <t>矩阵单选题</t>
  </si>
  <si>
    <t>本题矩阵行: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</si>
  <si>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</si>
  <si>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</si>
  <si>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</si>
  <si>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</si>
  <si>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</si>
  <si>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</si>
  <si>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</si>
  <si>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</si>
  <si>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</si>
  <si>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</si>
  <si>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</si>
  <si>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</si>
  <si>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</si>
  <si>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</si>
  <si>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</si>
  <si>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</si>
  <si>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</si>
  <si>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</si>
  <si>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</si>
  <si>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</si>
  <si>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</si>
  <si>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适应性强</t>
  </si>
  <si>
    <t>R22</t>
  </si>
  <si>
    <t>骄傲自满</t>
  </si>
  <si>
    <t>R23</t>
  </si>
  <si>
    <t>捉摸不透</t>
  </si>
  <si>
    <t>R24</t>
  </si>
  <si>
    <t>实事求是</t>
  </si>
  <si>
    <t>R25</t>
  </si>
  <si>
    <t>效率低下</t>
  </si>
  <si>
    <t>R26</t>
  </si>
  <si>
    <t>圆滑世故</t>
  </si>
  <si>
    <t>R27</t>
  </si>
  <si>
    <t>嫉妒心强</t>
  </si>
  <si>
    <t>R28</t>
  </si>
  <si>
    <t>诚实可信</t>
  </si>
  <si>
    <t>R29</t>
  </si>
  <si>
    <t>喜怒无常</t>
  </si>
  <si>
    <t>R30</t>
  </si>
  <si>
    <t>值得信赖</t>
  </si>
  <si>
    <t>本题选项</t>
  </si>
  <si>
    <t>1完全或几乎不符合</t>
  </si>
  <si>
    <t>2大多数情况下不符合</t>
  </si>
  <si>
    <t>3</t>
  </si>
  <si>
    <t>3有时但很少符合</t>
  </si>
  <si>
    <t>4</t>
  </si>
  <si>
    <t>4偶尔符合</t>
  </si>
  <si>
    <t>5</t>
  </si>
  <si>
    <t>5常常符合</t>
  </si>
  <si>
    <t>6</t>
  </si>
  <si>
    <t>6&amp;nbsp;大多数情况下符合</t>
  </si>
  <si>
    <t>7</t>
  </si>
  <si>
    <t>7&amp;nbsp;完全或几乎符合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</si>
</sst>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852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图一</a:t>
            </a:r>
          </a:p>
        </c:rich>
      </c:tx>
      <c:layout>
        <c:manualLayout>
          <c:xMode val="edge"/>
          <c:yMode val="edge"/>
          <c:x val="0.458157894736842"/>
          <c:y val="0.05324074074074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编码数据_202312060859_0!$AA$1</c:f>
              <c:strCache>
                <c:ptCount val="1"/>
                <c:pt idx="0">
                  <c:v>0.633197473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编码数据_202312060859_0!$AA$2:$AA$109</c:f>
              <c:numCache>
                <c:formatCode>General</c:formatCode>
                <c:ptCount val="108"/>
                <c:pt idx="0">
                  <c:v>-0.100000000000001</c:v>
                </c:pt>
                <c:pt idx="1">
                  <c:v>0</c:v>
                </c:pt>
                <c:pt idx="2">
                  <c:v>0.7</c:v>
                </c:pt>
                <c:pt idx="3">
                  <c:v>0.5</c:v>
                </c:pt>
                <c:pt idx="4">
                  <c:v>-0.4</c:v>
                </c:pt>
                <c:pt idx="5">
                  <c:v>-1.1</c:v>
                </c:pt>
                <c:pt idx="6">
                  <c:v>1.9</c:v>
                </c:pt>
                <c:pt idx="7">
                  <c:v>-0.4</c:v>
                </c:pt>
                <c:pt idx="8">
                  <c:v>-0.0999999999999996</c:v>
                </c:pt>
                <c:pt idx="9">
                  <c:v>-0.2</c:v>
                </c:pt>
                <c:pt idx="10">
                  <c:v>-1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0.3</c:v>
                </c:pt>
                <c:pt idx="15">
                  <c:v>0</c:v>
                </c:pt>
                <c:pt idx="16">
                  <c:v>0.3</c:v>
                </c:pt>
                <c:pt idx="17">
                  <c:v>0.5</c:v>
                </c:pt>
                <c:pt idx="18">
                  <c:v>0.6</c:v>
                </c:pt>
                <c:pt idx="19">
                  <c:v>0.7</c:v>
                </c:pt>
                <c:pt idx="20">
                  <c:v>-0.8</c:v>
                </c:pt>
                <c:pt idx="21">
                  <c:v>-0.6</c:v>
                </c:pt>
                <c:pt idx="22">
                  <c:v>0.199999999999999</c:v>
                </c:pt>
                <c:pt idx="23">
                  <c:v>-0.4</c:v>
                </c:pt>
                <c:pt idx="24">
                  <c:v>0</c:v>
                </c:pt>
                <c:pt idx="25">
                  <c:v>-0.0999999999999996</c:v>
                </c:pt>
                <c:pt idx="26">
                  <c:v>0</c:v>
                </c:pt>
                <c:pt idx="27">
                  <c:v>-2.2</c:v>
                </c:pt>
                <c:pt idx="28">
                  <c:v>-0.100000000000001</c:v>
                </c:pt>
                <c:pt idx="29">
                  <c:v>-0.600000000000001</c:v>
                </c:pt>
                <c:pt idx="30">
                  <c:v>0.4</c:v>
                </c:pt>
                <c:pt idx="31">
                  <c:v>-0.5</c:v>
                </c:pt>
                <c:pt idx="32">
                  <c:v>-1.1</c:v>
                </c:pt>
                <c:pt idx="33">
                  <c:v>0.3</c:v>
                </c:pt>
                <c:pt idx="34">
                  <c:v>-0.2</c:v>
                </c:pt>
                <c:pt idx="35">
                  <c:v>-0.7</c:v>
                </c:pt>
                <c:pt idx="36">
                  <c:v>0.1</c:v>
                </c:pt>
                <c:pt idx="37">
                  <c:v>0.8</c:v>
                </c:pt>
                <c:pt idx="38">
                  <c:v>-0.100000000000001</c:v>
                </c:pt>
                <c:pt idx="39">
                  <c:v>-1.8</c:v>
                </c:pt>
                <c:pt idx="40">
                  <c:v>-0.8</c:v>
                </c:pt>
                <c:pt idx="41">
                  <c:v>0.1</c:v>
                </c:pt>
                <c:pt idx="42">
                  <c:v>0.5</c:v>
                </c:pt>
                <c:pt idx="43">
                  <c:v>-0.3</c:v>
                </c:pt>
                <c:pt idx="44">
                  <c:v>0</c:v>
                </c:pt>
                <c:pt idx="45">
                  <c:v>1.1</c:v>
                </c:pt>
                <c:pt idx="46">
                  <c:v>-0.7</c:v>
                </c:pt>
                <c:pt idx="47">
                  <c:v>1.3</c:v>
                </c:pt>
                <c:pt idx="48">
                  <c:v>-0.1</c:v>
                </c:pt>
                <c:pt idx="49">
                  <c:v>-0.7</c:v>
                </c:pt>
                <c:pt idx="50">
                  <c:v>0.2</c:v>
                </c:pt>
                <c:pt idx="51">
                  <c:v>0.6</c:v>
                </c:pt>
                <c:pt idx="52">
                  <c:v>0</c:v>
                </c:pt>
                <c:pt idx="53">
                  <c:v>-0.3</c:v>
                </c:pt>
                <c:pt idx="54">
                  <c:v>0.2</c:v>
                </c:pt>
                <c:pt idx="55">
                  <c:v>-0.4</c:v>
                </c:pt>
                <c:pt idx="56">
                  <c:v>2.4</c:v>
                </c:pt>
                <c:pt idx="57">
                  <c:v>0</c:v>
                </c:pt>
                <c:pt idx="58">
                  <c:v>-1.2</c:v>
                </c:pt>
                <c:pt idx="59">
                  <c:v>0.3</c:v>
                </c:pt>
                <c:pt idx="60">
                  <c:v>0.3</c:v>
                </c:pt>
                <c:pt idx="61">
                  <c:v>-0.399999999999999</c:v>
                </c:pt>
                <c:pt idx="62">
                  <c:v>-0.8</c:v>
                </c:pt>
                <c:pt idx="63">
                  <c:v>-0.2</c:v>
                </c:pt>
                <c:pt idx="64">
                  <c:v>-0.6</c:v>
                </c:pt>
                <c:pt idx="65">
                  <c:v>-0.5</c:v>
                </c:pt>
                <c:pt idx="66">
                  <c:v>-1.4</c:v>
                </c:pt>
                <c:pt idx="67">
                  <c:v>1</c:v>
                </c:pt>
                <c:pt idx="68">
                  <c:v>-0.2</c:v>
                </c:pt>
                <c:pt idx="69">
                  <c:v>1.4</c:v>
                </c:pt>
                <c:pt idx="70">
                  <c:v>-2.3</c:v>
                </c:pt>
                <c:pt idx="71">
                  <c:v>0.5</c:v>
                </c:pt>
                <c:pt idx="72">
                  <c:v>0.6</c:v>
                </c:pt>
                <c:pt idx="73">
                  <c:v>-0.2</c:v>
                </c:pt>
                <c:pt idx="74">
                  <c:v>0.5</c:v>
                </c:pt>
                <c:pt idx="75">
                  <c:v>-0.4</c:v>
                </c:pt>
                <c:pt idx="76">
                  <c:v>1.1</c:v>
                </c:pt>
                <c:pt idx="77">
                  <c:v>1.3</c:v>
                </c:pt>
                <c:pt idx="78">
                  <c:v>-0.2</c:v>
                </c:pt>
                <c:pt idx="79">
                  <c:v>-0.7</c:v>
                </c:pt>
                <c:pt idx="80">
                  <c:v>0.2</c:v>
                </c:pt>
                <c:pt idx="81">
                  <c:v>0.2</c:v>
                </c:pt>
                <c:pt idx="82">
                  <c:v>1.1</c:v>
                </c:pt>
                <c:pt idx="83">
                  <c:v>1.2</c:v>
                </c:pt>
                <c:pt idx="84">
                  <c:v>0.4</c:v>
                </c:pt>
                <c:pt idx="85">
                  <c:v>-0.0999999999999996</c:v>
                </c:pt>
                <c:pt idx="86">
                  <c:v>-0.6</c:v>
                </c:pt>
                <c:pt idx="87">
                  <c:v>0.9</c:v>
                </c:pt>
                <c:pt idx="88">
                  <c:v>0.399999999999999</c:v>
                </c:pt>
                <c:pt idx="89">
                  <c:v>-0.7</c:v>
                </c:pt>
                <c:pt idx="90">
                  <c:v>-0.2</c:v>
                </c:pt>
                <c:pt idx="91">
                  <c:v>-1.2</c:v>
                </c:pt>
                <c:pt idx="92">
                  <c:v>-1.1</c:v>
                </c:pt>
                <c:pt idx="93">
                  <c:v>1.2</c:v>
                </c:pt>
                <c:pt idx="94">
                  <c:v>0.3</c:v>
                </c:pt>
                <c:pt idx="95">
                  <c:v>-1.1</c:v>
                </c:pt>
                <c:pt idx="96">
                  <c:v>0.3</c:v>
                </c:pt>
                <c:pt idx="97">
                  <c:v>-1</c:v>
                </c:pt>
                <c:pt idx="98">
                  <c:v>0.800000000000001</c:v>
                </c:pt>
                <c:pt idx="99">
                  <c:v>-1</c:v>
                </c:pt>
                <c:pt idx="100">
                  <c:v>0</c:v>
                </c:pt>
                <c:pt idx="101">
                  <c:v>0.2</c:v>
                </c:pt>
                <c:pt idx="102">
                  <c:v>-0.2</c:v>
                </c:pt>
                <c:pt idx="103">
                  <c:v>0.2</c:v>
                </c:pt>
                <c:pt idx="104">
                  <c:v>-0.1</c:v>
                </c:pt>
                <c:pt idx="105">
                  <c:v>-1.7</c:v>
                </c:pt>
                <c:pt idx="106">
                  <c:v>-1.3</c:v>
                </c:pt>
                <c:pt idx="107">
                  <c:v>-0.899999999999999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18269"/>
        <c:axId val="47786888"/>
      </c:scatterChart>
      <c:valAx>
        <c:axId val="97591826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ysClr val="windowText" lastClr="000000"/>
                    </a:solidFill>
                  </a:rPr>
                  <a:t>参与者编号</a:t>
                </a:r>
                <a:endParaRPr b="1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786888"/>
        <c:crosses val="autoZero"/>
        <c:crossBetween val="midCat"/>
      </c:valAx>
      <c:valAx>
        <c:axId val="4778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ysClr val="windowText" lastClr="000000"/>
                    </a:solidFill>
                  </a:rPr>
                  <a:t>双性化得分</a:t>
                </a:r>
                <a:endParaRPr b="1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9182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图三：男性受访者不同性别类型占比</a:t>
            </a:r>
          </a:p>
        </c:rich>
      </c:tx>
      <c:layout>
        <c:manualLayout>
          <c:xMode val="edge"/>
          <c:yMode val="edge"/>
          <c:x val="0.193815789473684"/>
          <c:y val="0.04398148148148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编码数据_202312060859_0!$AJ$4</c:f>
              <c:strCache>
                <c:ptCount val="1"/>
                <c:pt idx="0">
                  <c:v>男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00B0F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编码数据_202312060859_0!$AK$2:$AO$2</c:f>
              <c:strCache>
                <c:ptCount val="5"/>
                <c:pt idx="0">
                  <c:v>女性化</c:v>
                </c:pt>
                <c:pt idx="1">
                  <c:v>接近女性化</c:v>
                </c:pt>
                <c:pt idx="2">
                  <c:v>双性化</c:v>
                </c:pt>
                <c:pt idx="3">
                  <c:v>接近男性化</c:v>
                </c:pt>
                <c:pt idx="4">
                  <c:v>男性化</c:v>
                </c:pt>
              </c:strCache>
            </c:strRef>
          </c:cat>
          <c:val>
            <c:numRef>
              <c:f>编码数据_202312060859_0!$AK$4:$AO$4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13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图四：女性受访者不同性别类型占比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编码数据_202312060859_0!$AJ$5</c:f>
              <c:strCache>
                <c:ptCount val="1"/>
                <c:pt idx="0">
                  <c:v>女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00B0F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编码数据_202312060859_0!$AK$2:$AO$2</c:f>
              <c:strCache>
                <c:ptCount val="5"/>
                <c:pt idx="0">
                  <c:v>女性化</c:v>
                </c:pt>
                <c:pt idx="1">
                  <c:v>接近女性化</c:v>
                </c:pt>
                <c:pt idx="2">
                  <c:v>双性化</c:v>
                </c:pt>
                <c:pt idx="3">
                  <c:v>接近男性化</c:v>
                </c:pt>
                <c:pt idx="4">
                  <c:v>男性化</c:v>
                </c:pt>
              </c:strCache>
            </c:strRef>
          </c:cat>
          <c:val>
            <c:numRef>
              <c:f>编码数据_202312060859_0!$AK$5:$AO$5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43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图五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编码数据_202312060859_0!$AQ$3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编码数据_202312060859_0!$AR$2:$AV$2</c:f>
              <c:strCache>
                <c:ptCount val="5"/>
                <c:pt idx="0">
                  <c:v>女性化</c:v>
                </c:pt>
                <c:pt idx="1">
                  <c:v>接近女性化</c:v>
                </c:pt>
                <c:pt idx="2">
                  <c:v>双性化</c:v>
                </c:pt>
                <c:pt idx="3">
                  <c:v>接近男性化</c:v>
                </c:pt>
                <c:pt idx="4">
                  <c:v>男性化</c:v>
                </c:pt>
              </c:strCache>
            </c:strRef>
          </c:cat>
          <c:val>
            <c:numRef>
              <c:f>编码数据_202312060859_0!$AR$3:$AV$3</c:f>
              <c:numCache>
                <c:formatCode>0%</c:formatCode>
                <c:ptCount val="5"/>
                <c:pt idx="0">
                  <c:v>0.12</c:v>
                </c:pt>
                <c:pt idx="1">
                  <c:v>0.14</c:v>
                </c:pt>
                <c:pt idx="2">
                  <c:v>0.54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</c:ser>
        <c:ser>
          <c:idx val="1"/>
          <c:order val="1"/>
          <c:tx>
            <c:strRef>
              <c:f>编码数据_202312060859_0!$AQ$4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编码数据_202312060859_0!$AR$2:$AV$2</c:f>
              <c:strCache>
                <c:ptCount val="5"/>
                <c:pt idx="0">
                  <c:v>女性化</c:v>
                </c:pt>
                <c:pt idx="1">
                  <c:v>接近女性化</c:v>
                </c:pt>
                <c:pt idx="2">
                  <c:v>双性化</c:v>
                </c:pt>
                <c:pt idx="3">
                  <c:v>接近男性化</c:v>
                </c:pt>
                <c:pt idx="4">
                  <c:v>男性化</c:v>
                </c:pt>
              </c:strCache>
            </c:strRef>
          </c:cat>
          <c:val>
            <c:numRef>
              <c:f>编码数据_202312060859_0!$AR$4:$AV$4</c:f>
              <c:numCache>
                <c:formatCode>0%</c:formatCode>
                <c:ptCount val="5"/>
                <c:pt idx="0">
                  <c:v>0.04</c:v>
                </c:pt>
                <c:pt idx="1">
                  <c:v>0.07</c:v>
                </c:pt>
                <c:pt idx="2">
                  <c:v>0.47</c:v>
                </c:pt>
                <c:pt idx="3">
                  <c:v>0.21</c:v>
                </c:pt>
                <c:pt idx="4">
                  <c:v>0.21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1885832"/>
        <c:axId val="618784568"/>
      </c:barChart>
      <c:catAx>
        <c:axId val="761885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784568"/>
        <c:crosses val="autoZero"/>
        <c:auto val="1"/>
        <c:lblAlgn val="ctr"/>
        <c:lblOffset val="100"/>
        <c:noMultiLvlLbl val="0"/>
      </c:catAx>
      <c:valAx>
        <c:axId val="61878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ysClr val="windowText" lastClr="000000"/>
                    </a:solidFill>
                  </a:rPr>
                  <a:t>受访者性别类型占比</a:t>
                </a:r>
                <a:endParaRPr b="1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88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图二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编码数据_202312060859_0!$AJ$3</c:f>
              <c:strCache>
                <c:ptCount val="1"/>
                <c:pt idx="0">
                  <c:v>总体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00B0F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编码数据_202312060859_0!$AK$2:$AO$2</c:f>
              <c:strCache>
                <c:ptCount val="5"/>
                <c:pt idx="0">
                  <c:v>女性化</c:v>
                </c:pt>
                <c:pt idx="1">
                  <c:v>接近女性化</c:v>
                </c:pt>
                <c:pt idx="2">
                  <c:v>双性化</c:v>
                </c:pt>
                <c:pt idx="3">
                  <c:v>接近男性化</c:v>
                </c:pt>
                <c:pt idx="4">
                  <c:v>男性化</c:v>
                </c:pt>
              </c:strCache>
            </c:strRef>
          </c:cat>
          <c:val>
            <c:numRef>
              <c:f>编码数据_202312060859_0!$AK$3:$AO$3</c:f>
              <c:numCache>
                <c:formatCode>General</c:formatCode>
                <c:ptCount val="5"/>
                <c:pt idx="0">
                  <c:v>11</c:v>
                </c:pt>
                <c:pt idx="1">
                  <c:v>13</c:v>
                </c:pt>
                <c:pt idx="2">
                  <c:v>56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342900</xdr:colOff>
      <xdr:row>9</xdr:row>
      <xdr:rowOff>101600</xdr:rowOff>
    </xdr:from>
    <xdr:to>
      <xdr:col>37</xdr:col>
      <xdr:colOff>139700</xdr:colOff>
      <xdr:row>25</xdr:row>
      <xdr:rowOff>0</xdr:rowOff>
    </xdr:to>
    <xdr:graphicFrame>
      <xdr:nvGraphicFramePr>
        <xdr:cNvPr id="4" name="图表 3"/>
        <xdr:cNvGraphicFramePr/>
      </xdr:nvGraphicFramePr>
      <xdr:xfrm>
        <a:off x="19538950" y="1701800"/>
        <a:ext cx="5175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82550</xdr:colOff>
      <xdr:row>9</xdr:row>
      <xdr:rowOff>107950</xdr:rowOff>
    </xdr:from>
    <xdr:to>
      <xdr:col>42</xdr:col>
      <xdr:colOff>508000</xdr:colOff>
      <xdr:row>25</xdr:row>
      <xdr:rowOff>6350</xdr:rowOff>
    </xdr:to>
    <xdr:graphicFrame>
      <xdr:nvGraphicFramePr>
        <xdr:cNvPr id="3" name="图表 2"/>
        <xdr:cNvGraphicFramePr/>
      </xdr:nvGraphicFramePr>
      <xdr:xfrm>
        <a:off x="23399750" y="1708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88900</xdr:colOff>
      <xdr:row>25</xdr:row>
      <xdr:rowOff>101600</xdr:rowOff>
    </xdr:from>
    <xdr:to>
      <xdr:col>42</xdr:col>
      <xdr:colOff>514350</xdr:colOff>
      <xdr:row>41</xdr:row>
      <xdr:rowOff>0</xdr:rowOff>
    </xdr:to>
    <xdr:graphicFrame>
      <xdr:nvGraphicFramePr>
        <xdr:cNvPr id="5" name="图表 4"/>
        <xdr:cNvGraphicFramePr/>
      </xdr:nvGraphicFramePr>
      <xdr:xfrm>
        <a:off x="23406100" y="4546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69850</xdr:colOff>
      <xdr:row>9</xdr:row>
      <xdr:rowOff>139700</xdr:rowOff>
    </xdr:from>
    <xdr:to>
      <xdr:col>50</xdr:col>
      <xdr:colOff>495300</xdr:colOff>
      <xdr:row>25</xdr:row>
      <xdr:rowOff>38100</xdr:rowOff>
    </xdr:to>
    <xdr:graphicFrame>
      <xdr:nvGraphicFramePr>
        <xdr:cNvPr id="6" name="图表 5"/>
        <xdr:cNvGraphicFramePr/>
      </xdr:nvGraphicFramePr>
      <xdr:xfrm>
        <a:off x="28416250" y="1739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918845</xdr:colOff>
      <xdr:row>27</xdr:row>
      <xdr:rowOff>55880</xdr:rowOff>
    </xdr:from>
    <xdr:to>
      <xdr:col>34</xdr:col>
      <xdr:colOff>99695</xdr:colOff>
      <xdr:row>42</xdr:row>
      <xdr:rowOff>132080</xdr:rowOff>
    </xdr:to>
    <xdr:graphicFrame>
      <xdr:nvGraphicFramePr>
        <xdr:cNvPr id="7" name="图表 6"/>
        <xdr:cNvGraphicFramePr/>
      </xdr:nvGraphicFramePr>
      <xdr:xfrm>
        <a:off x="17612995" y="4856480"/>
        <a:ext cx="5175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09"/>
  <sheetViews>
    <sheetView tabSelected="1" topLeftCell="AE7" workbookViewId="0">
      <selection activeCell="BB22" sqref="BB22"/>
    </sheetView>
  </sheetViews>
  <sheetFormatPr defaultColWidth="9" defaultRowHeight="14"/>
  <cols>
    <col min="1" max="1" width="9" style="1"/>
    <col min="2" max="2" width="9" style="2"/>
    <col min="3" max="12" width="9" style="1"/>
    <col min="14" max="23" width="9" style="1"/>
    <col min="24" max="24" width="14" style="1"/>
    <col min="25" max="25" width="9" style="1"/>
    <col min="27" max="27" width="14"/>
    <col min="28" max="28" width="12.8181818181818"/>
  </cols>
  <sheetData>
    <row r="1" spans="1:41">
      <c r="A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>
        <f>_xlfn.VAR.S(AA2:AA109)</f>
        <v>0.633197473174109</v>
      </c>
      <c r="AB1">
        <f>CORREL(Y2:Y109,X2:X109)</f>
        <v>0.698465537310903</v>
      </c>
      <c r="AK1" s="7" t="s">
        <v>24</v>
      </c>
      <c r="AL1" s="7"/>
      <c r="AM1" s="7"/>
      <c r="AN1" s="7"/>
      <c r="AO1" s="7"/>
    </row>
    <row r="2" spans="1:48">
      <c r="A2" s="1">
        <v>1</v>
      </c>
      <c r="C2" s="4">
        <v>7</v>
      </c>
      <c r="D2" s="4">
        <v>4</v>
      </c>
      <c r="E2" s="4">
        <v>6</v>
      </c>
      <c r="F2" s="4">
        <v>2</v>
      </c>
      <c r="G2" s="4">
        <v>7</v>
      </c>
      <c r="H2" s="4">
        <v>7</v>
      </c>
      <c r="I2" s="4">
        <v>7</v>
      </c>
      <c r="J2" s="4">
        <v>1</v>
      </c>
      <c r="K2" s="4">
        <v>4</v>
      </c>
      <c r="L2" s="4">
        <v>3</v>
      </c>
      <c r="N2" s="4">
        <v>2</v>
      </c>
      <c r="O2" s="4">
        <v>4</v>
      </c>
      <c r="P2" s="4">
        <v>7</v>
      </c>
      <c r="Q2" s="4">
        <v>4</v>
      </c>
      <c r="R2" s="4">
        <v>4</v>
      </c>
      <c r="S2" s="4">
        <v>7</v>
      </c>
      <c r="T2" s="4">
        <v>4</v>
      </c>
      <c r="U2" s="4">
        <v>7</v>
      </c>
      <c r="V2" s="4">
        <v>3</v>
      </c>
      <c r="W2" s="4">
        <v>7</v>
      </c>
      <c r="X2" s="5">
        <f t="shared" ref="X2:X65" si="0">AVERAGE(N2:W2)</f>
        <v>4.9</v>
      </c>
      <c r="Y2" s="6">
        <f t="shared" ref="Y2:Y65" si="1">AVERAGE(C2:L2)</f>
        <v>4.8</v>
      </c>
      <c r="Z2" s="4" t="s">
        <v>25</v>
      </c>
      <c r="AA2">
        <f>Y2-X2</f>
        <v>-0.100000000000001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R2" t="s">
        <v>26</v>
      </c>
      <c r="AS2" t="s">
        <v>27</v>
      </c>
      <c r="AT2" t="s">
        <v>28</v>
      </c>
      <c r="AU2" t="s">
        <v>29</v>
      </c>
      <c r="AV2" t="s">
        <v>30</v>
      </c>
    </row>
    <row r="3" spans="1:48">
      <c r="A3" s="1">
        <v>2</v>
      </c>
      <c r="C3" s="4">
        <v>6</v>
      </c>
      <c r="D3" s="4">
        <v>4</v>
      </c>
      <c r="E3" s="4">
        <v>5</v>
      </c>
      <c r="F3" s="4">
        <v>1</v>
      </c>
      <c r="G3" s="4">
        <v>6</v>
      </c>
      <c r="H3" s="4">
        <v>1</v>
      </c>
      <c r="I3" s="4">
        <v>6</v>
      </c>
      <c r="J3" s="4">
        <v>2</v>
      </c>
      <c r="K3" s="4">
        <v>5</v>
      </c>
      <c r="L3" s="4">
        <v>5</v>
      </c>
      <c r="N3" s="4">
        <v>1</v>
      </c>
      <c r="O3" s="4">
        <v>5</v>
      </c>
      <c r="P3" s="4">
        <v>6</v>
      </c>
      <c r="Q3" s="4">
        <v>2</v>
      </c>
      <c r="R3" s="4">
        <v>6</v>
      </c>
      <c r="S3" s="4">
        <v>5</v>
      </c>
      <c r="T3" s="4">
        <v>6</v>
      </c>
      <c r="U3" s="4">
        <v>1</v>
      </c>
      <c r="V3" s="4">
        <v>3</v>
      </c>
      <c r="W3" s="4">
        <v>6</v>
      </c>
      <c r="X3" s="5">
        <f t="shared" si="0"/>
        <v>4.1</v>
      </c>
      <c r="Y3" s="6">
        <f t="shared" si="1"/>
        <v>4.1</v>
      </c>
      <c r="Z3" s="4" t="s">
        <v>25</v>
      </c>
      <c r="AA3">
        <f t="shared" ref="AA3:AA34" si="2">Y3-X3</f>
        <v>0</v>
      </c>
      <c r="AJ3" t="s">
        <v>31</v>
      </c>
      <c r="AK3">
        <v>11</v>
      </c>
      <c r="AL3">
        <v>13</v>
      </c>
      <c r="AM3">
        <v>56</v>
      </c>
      <c r="AN3">
        <v>14</v>
      </c>
      <c r="AO3">
        <v>14</v>
      </c>
      <c r="AQ3" t="s">
        <v>25</v>
      </c>
      <c r="AR3" s="8">
        <v>0.12</v>
      </c>
      <c r="AS3" s="8">
        <v>0.14</v>
      </c>
      <c r="AT3" s="8">
        <v>0.54</v>
      </c>
      <c r="AU3" s="8">
        <v>0.1</v>
      </c>
      <c r="AV3" s="8">
        <v>0.1</v>
      </c>
    </row>
    <row r="4" spans="1:48">
      <c r="A4" s="1">
        <v>3</v>
      </c>
      <c r="C4" s="4">
        <v>6</v>
      </c>
      <c r="D4" s="4">
        <v>5</v>
      </c>
      <c r="E4" s="4">
        <v>3</v>
      </c>
      <c r="F4" s="4">
        <v>3</v>
      </c>
      <c r="G4" s="4">
        <v>6</v>
      </c>
      <c r="H4" s="4">
        <v>5</v>
      </c>
      <c r="I4" s="4">
        <v>4</v>
      </c>
      <c r="J4" s="4">
        <v>6</v>
      </c>
      <c r="K4" s="4">
        <v>6</v>
      </c>
      <c r="L4" s="4">
        <v>3</v>
      </c>
      <c r="N4" s="4">
        <v>3</v>
      </c>
      <c r="O4" s="4">
        <v>3</v>
      </c>
      <c r="P4" s="4">
        <v>5</v>
      </c>
      <c r="Q4" s="4">
        <v>6</v>
      </c>
      <c r="R4" s="4">
        <v>6</v>
      </c>
      <c r="S4" s="4">
        <v>5</v>
      </c>
      <c r="T4" s="4">
        <v>2</v>
      </c>
      <c r="U4" s="4">
        <v>5</v>
      </c>
      <c r="V4" s="4">
        <v>3</v>
      </c>
      <c r="W4" s="4">
        <v>2</v>
      </c>
      <c r="X4" s="5">
        <f t="shared" si="0"/>
        <v>4</v>
      </c>
      <c r="Y4" s="6">
        <f t="shared" si="1"/>
        <v>4.7</v>
      </c>
      <c r="Z4" s="4" t="s">
        <v>25</v>
      </c>
      <c r="AA4">
        <f t="shared" si="2"/>
        <v>0.7</v>
      </c>
      <c r="AJ4" t="s">
        <v>32</v>
      </c>
      <c r="AK4">
        <v>1</v>
      </c>
      <c r="AL4">
        <v>2</v>
      </c>
      <c r="AM4">
        <v>13</v>
      </c>
      <c r="AN4">
        <v>6</v>
      </c>
      <c r="AO4">
        <v>6</v>
      </c>
      <c r="AQ4" t="s">
        <v>32</v>
      </c>
      <c r="AR4" s="8">
        <v>0.04</v>
      </c>
      <c r="AS4" s="8">
        <v>0.07</v>
      </c>
      <c r="AT4" s="8">
        <v>0.47</v>
      </c>
      <c r="AU4" s="8">
        <v>0.21</v>
      </c>
      <c r="AV4" s="8">
        <v>0.21</v>
      </c>
    </row>
    <row r="5" spans="1:41">
      <c r="A5" s="1">
        <v>4</v>
      </c>
      <c r="C5" s="4">
        <v>1</v>
      </c>
      <c r="D5" s="4">
        <v>1</v>
      </c>
      <c r="E5" s="4">
        <v>3</v>
      </c>
      <c r="F5" s="4">
        <v>7</v>
      </c>
      <c r="G5" s="4">
        <v>1</v>
      </c>
      <c r="H5" s="4">
        <v>1</v>
      </c>
      <c r="I5" s="4">
        <v>1</v>
      </c>
      <c r="J5" s="4">
        <v>5</v>
      </c>
      <c r="K5" s="4">
        <v>5</v>
      </c>
      <c r="L5" s="4">
        <v>5</v>
      </c>
      <c r="N5" s="4">
        <v>7</v>
      </c>
      <c r="O5" s="4">
        <v>1</v>
      </c>
      <c r="P5" s="4">
        <v>1</v>
      </c>
      <c r="Q5" s="4">
        <v>1</v>
      </c>
      <c r="R5" s="4">
        <v>1</v>
      </c>
      <c r="S5" s="4">
        <v>5</v>
      </c>
      <c r="T5" s="4">
        <v>1</v>
      </c>
      <c r="U5" s="4">
        <v>1</v>
      </c>
      <c r="V5" s="4">
        <v>6</v>
      </c>
      <c r="W5" s="4">
        <v>1</v>
      </c>
      <c r="X5" s="5">
        <f t="shared" si="0"/>
        <v>2.5</v>
      </c>
      <c r="Y5" s="6">
        <f t="shared" si="1"/>
        <v>3</v>
      </c>
      <c r="Z5" s="4" t="s">
        <v>25</v>
      </c>
      <c r="AA5">
        <f t="shared" si="2"/>
        <v>0.5</v>
      </c>
      <c r="AJ5" t="s">
        <v>25</v>
      </c>
      <c r="AK5">
        <v>10</v>
      </c>
      <c r="AL5">
        <v>11</v>
      </c>
      <c r="AM5">
        <v>43</v>
      </c>
      <c r="AN5">
        <v>8</v>
      </c>
      <c r="AO5">
        <v>8</v>
      </c>
    </row>
    <row r="6" spans="1:27">
      <c r="A6" s="1">
        <v>5</v>
      </c>
      <c r="C6" s="4">
        <v>5</v>
      </c>
      <c r="D6" s="4">
        <v>5</v>
      </c>
      <c r="E6" s="4">
        <v>6</v>
      </c>
      <c r="F6" s="4">
        <v>4</v>
      </c>
      <c r="G6" s="4">
        <v>5</v>
      </c>
      <c r="H6" s="4">
        <v>6</v>
      </c>
      <c r="I6" s="4">
        <v>4</v>
      </c>
      <c r="J6" s="4">
        <v>4</v>
      </c>
      <c r="K6" s="4">
        <v>3</v>
      </c>
      <c r="L6" s="4">
        <v>3</v>
      </c>
      <c r="N6" s="4">
        <v>7</v>
      </c>
      <c r="O6" s="4">
        <v>5</v>
      </c>
      <c r="P6" s="4">
        <v>5</v>
      </c>
      <c r="Q6" s="4">
        <v>5</v>
      </c>
      <c r="R6" s="4">
        <v>5</v>
      </c>
      <c r="S6" s="4">
        <v>4</v>
      </c>
      <c r="T6" s="4">
        <v>4</v>
      </c>
      <c r="U6" s="4">
        <v>3</v>
      </c>
      <c r="V6" s="4">
        <v>6</v>
      </c>
      <c r="W6" s="4">
        <v>5</v>
      </c>
      <c r="X6" s="5">
        <f t="shared" si="0"/>
        <v>4.9</v>
      </c>
      <c r="Y6" s="6">
        <f t="shared" si="1"/>
        <v>4.5</v>
      </c>
      <c r="Z6" s="4" t="s">
        <v>32</v>
      </c>
      <c r="AA6">
        <f t="shared" si="2"/>
        <v>-0.4</v>
      </c>
    </row>
    <row r="7" spans="1:27">
      <c r="A7" s="1">
        <v>6</v>
      </c>
      <c r="C7" s="4">
        <v>4</v>
      </c>
      <c r="D7" s="4">
        <v>2</v>
      </c>
      <c r="E7" s="4">
        <v>4</v>
      </c>
      <c r="F7" s="4">
        <v>5</v>
      </c>
      <c r="G7" s="4">
        <v>6</v>
      </c>
      <c r="H7" s="4">
        <v>4</v>
      </c>
      <c r="I7" s="4">
        <v>3</v>
      </c>
      <c r="J7" s="4">
        <v>2</v>
      </c>
      <c r="K7" s="4">
        <v>5</v>
      </c>
      <c r="L7" s="4">
        <v>3</v>
      </c>
      <c r="N7" s="4">
        <v>2</v>
      </c>
      <c r="O7" s="4">
        <v>6</v>
      </c>
      <c r="P7" s="4">
        <v>6</v>
      </c>
      <c r="Q7" s="4">
        <v>5</v>
      </c>
      <c r="R7" s="4">
        <v>6</v>
      </c>
      <c r="S7" s="4">
        <v>5</v>
      </c>
      <c r="T7" s="4">
        <v>5</v>
      </c>
      <c r="U7" s="4">
        <v>5</v>
      </c>
      <c r="V7" s="4">
        <v>5</v>
      </c>
      <c r="W7" s="4">
        <v>4</v>
      </c>
      <c r="X7" s="5">
        <f t="shared" si="0"/>
        <v>4.9</v>
      </c>
      <c r="Y7" s="6">
        <f t="shared" si="1"/>
        <v>3.8</v>
      </c>
      <c r="Z7" s="4" t="s">
        <v>32</v>
      </c>
      <c r="AA7">
        <f t="shared" si="2"/>
        <v>-1.1</v>
      </c>
    </row>
    <row r="8" spans="1:27">
      <c r="A8" s="1">
        <v>7</v>
      </c>
      <c r="C8" s="4">
        <v>6</v>
      </c>
      <c r="D8" s="4">
        <v>1</v>
      </c>
      <c r="E8" s="4">
        <v>2</v>
      </c>
      <c r="F8" s="4">
        <v>5</v>
      </c>
      <c r="G8" s="4">
        <v>7</v>
      </c>
      <c r="H8" s="4">
        <v>7</v>
      </c>
      <c r="I8" s="4">
        <v>6</v>
      </c>
      <c r="J8" s="4">
        <v>7</v>
      </c>
      <c r="K8" s="4">
        <v>5</v>
      </c>
      <c r="L8" s="4">
        <v>7</v>
      </c>
      <c r="N8" s="4">
        <v>1</v>
      </c>
      <c r="O8" s="4">
        <v>4</v>
      </c>
      <c r="P8" s="4">
        <v>3</v>
      </c>
      <c r="Q8" s="4">
        <v>7</v>
      </c>
      <c r="R8" s="4">
        <v>4</v>
      </c>
      <c r="S8" s="4">
        <v>3</v>
      </c>
      <c r="T8" s="4">
        <v>2</v>
      </c>
      <c r="U8" s="4">
        <v>2</v>
      </c>
      <c r="V8" s="4">
        <v>4</v>
      </c>
      <c r="W8" s="4">
        <v>4</v>
      </c>
      <c r="X8" s="5">
        <f t="shared" si="0"/>
        <v>3.4</v>
      </c>
      <c r="Y8" s="6">
        <f t="shared" si="1"/>
        <v>5.3</v>
      </c>
      <c r="Z8" s="4" t="s">
        <v>25</v>
      </c>
      <c r="AA8">
        <f t="shared" si="2"/>
        <v>1.9</v>
      </c>
    </row>
    <row r="9" spans="1:27">
      <c r="A9" s="1">
        <v>8</v>
      </c>
      <c r="C9" s="4">
        <v>6</v>
      </c>
      <c r="D9" s="4">
        <v>3</v>
      </c>
      <c r="E9" s="4">
        <v>6</v>
      </c>
      <c r="F9" s="4">
        <v>3</v>
      </c>
      <c r="G9" s="4">
        <v>4</v>
      </c>
      <c r="H9" s="4">
        <v>5</v>
      </c>
      <c r="I9" s="4">
        <v>5</v>
      </c>
      <c r="J9" s="4">
        <v>2</v>
      </c>
      <c r="K9" s="4">
        <v>4</v>
      </c>
      <c r="L9" s="4">
        <v>5</v>
      </c>
      <c r="N9" s="4">
        <v>5</v>
      </c>
      <c r="O9" s="4">
        <v>5</v>
      </c>
      <c r="P9" s="4">
        <v>5</v>
      </c>
      <c r="Q9" s="4">
        <v>5</v>
      </c>
      <c r="R9" s="4">
        <v>4</v>
      </c>
      <c r="S9" s="4">
        <v>4</v>
      </c>
      <c r="T9" s="4">
        <v>5</v>
      </c>
      <c r="U9" s="4">
        <v>5</v>
      </c>
      <c r="V9" s="4">
        <v>4</v>
      </c>
      <c r="W9" s="4">
        <v>5</v>
      </c>
      <c r="X9" s="5">
        <f t="shared" si="0"/>
        <v>4.7</v>
      </c>
      <c r="Y9" s="6">
        <f t="shared" si="1"/>
        <v>4.3</v>
      </c>
      <c r="Z9" s="4" t="s">
        <v>32</v>
      </c>
      <c r="AA9">
        <f t="shared" si="2"/>
        <v>-0.4</v>
      </c>
    </row>
    <row r="10" spans="1:27">
      <c r="A10" s="1">
        <v>9</v>
      </c>
      <c r="C10" s="1">
        <v>5</v>
      </c>
      <c r="D10" s="1">
        <v>5</v>
      </c>
      <c r="E10" s="1">
        <v>6</v>
      </c>
      <c r="F10" s="1">
        <v>6</v>
      </c>
      <c r="G10" s="1">
        <v>5</v>
      </c>
      <c r="H10" s="1">
        <v>6</v>
      </c>
      <c r="I10" s="1">
        <v>6</v>
      </c>
      <c r="J10" s="1">
        <v>5</v>
      </c>
      <c r="K10" s="1">
        <v>5</v>
      </c>
      <c r="L10" s="1">
        <v>5</v>
      </c>
      <c r="N10" s="1">
        <v>5</v>
      </c>
      <c r="O10" s="1">
        <v>6</v>
      </c>
      <c r="P10" s="1">
        <v>6</v>
      </c>
      <c r="Q10" s="1">
        <v>6</v>
      </c>
      <c r="R10" s="1">
        <v>5</v>
      </c>
      <c r="S10" s="1">
        <v>5</v>
      </c>
      <c r="T10" s="1">
        <v>6</v>
      </c>
      <c r="U10" s="1">
        <v>4</v>
      </c>
      <c r="V10" s="1">
        <v>6</v>
      </c>
      <c r="W10" s="1">
        <v>6</v>
      </c>
      <c r="X10" s="1">
        <f t="shared" si="0"/>
        <v>5.5</v>
      </c>
      <c r="Y10" s="1">
        <f t="shared" si="1"/>
        <v>5.4</v>
      </c>
      <c r="Z10" s="2" t="s">
        <v>25</v>
      </c>
      <c r="AA10">
        <f t="shared" si="2"/>
        <v>-0.0999999999999996</v>
      </c>
    </row>
    <row r="11" spans="1:27">
      <c r="A11" s="1">
        <v>10</v>
      </c>
      <c r="C11" s="1">
        <v>5</v>
      </c>
      <c r="D11" s="1">
        <v>5</v>
      </c>
      <c r="E11" s="1">
        <v>6</v>
      </c>
      <c r="F11" s="1">
        <v>6</v>
      </c>
      <c r="G11" s="1">
        <v>6</v>
      </c>
      <c r="H11" s="1">
        <v>5</v>
      </c>
      <c r="I11" s="1">
        <v>6</v>
      </c>
      <c r="J11" s="1">
        <v>5</v>
      </c>
      <c r="K11" s="1">
        <v>5</v>
      </c>
      <c r="L11" s="1">
        <v>7</v>
      </c>
      <c r="N11" s="1">
        <v>5</v>
      </c>
      <c r="O11" s="1">
        <v>5</v>
      </c>
      <c r="P11" s="1">
        <v>6</v>
      </c>
      <c r="Q11" s="1">
        <v>5</v>
      </c>
      <c r="R11" s="1">
        <v>6</v>
      </c>
      <c r="S11" s="1">
        <v>6</v>
      </c>
      <c r="T11" s="1">
        <v>7</v>
      </c>
      <c r="U11" s="1">
        <v>7</v>
      </c>
      <c r="V11" s="1">
        <v>6</v>
      </c>
      <c r="W11" s="1">
        <v>5</v>
      </c>
      <c r="X11" s="1">
        <f t="shared" si="0"/>
        <v>5.8</v>
      </c>
      <c r="Y11" s="1">
        <f t="shared" si="1"/>
        <v>5.6</v>
      </c>
      <c r="Z11" s="2" t="s">
        <v>25</v>
      </c>
      <c r="AA11">
        <f t="shared" si="2"/>
        <v>-0.2</v>
      </c>
    </row>
    <row r="12" spans="1:27">
      <c r="A12" s="1">
        <v>11</v>
      </c>
      <c r="C12" s="1">
        <v>3</v>
      </c>
      <c r="D12" s="1">
        <v>3</v>
      </c>
      <c r="E12" s="1">
        <v>5</v>
      </c>
      <c r="F12" s="1">
        <v>1</v>
      </c>
      <c r="G12" s="1">
        <v>4</v>
      </c>
      <c r="H12" s="1">
        <v>5</v>
      </c>
      <c r="I12" s="1">
        <v>4</v>
      </c>
      <c r="J12" s="1">
        <v>2</v>
      </c>
      <c r="K12" s="1">
        <v>4</v>
      </c>
      <c r="L12" s="1">
        <v>3</v>
      </c>
      <c r="N12" s="1">
        <v>6</v>
      </c>
      <c r="O12" s="1">
        <v>6</v>
      </c>
      <c r="P12" s="1">
        <v>3</v>
      </c>
      <c r="Q12" s="1">
        <v>1</v>
      </c>
      <c r="R12" s="1">
        <v>4</v>
      </c>
      <c r="S12" s="1">
        <v>6</v>
      </c>
      <c r="T12" s="1">
        <v>5</v>
      </c>
      <c r="U12" s="1">
        <v>6</v>
      </c>
      <c r="V12" s="1">
        <v>6</v>
      </c>
      <c r="W12" s="1">
        <v>1</v>
      </c>
      <c r="X12" s="1">
        <f t="shared" si="0"/>
        <v>4.4</v>
      </c>
      <c r="Y12" s="1">
        <f t="shared" si="1"/>
        <v>3.4</v>
      </c>
      <c r="Z12" s="2" t="s">
        <v>25</v>
      </c>
      <c r="AA12">
        <f t="shared" si="2"/>
        <v>-1</v>
      </c>
    </row>
    <row r="13" spans="1:27">
      <c r="A13" s="1">
        <v>12</v>
      </c>
      <c r="C13" s="1">
        <v>2</v>
      </c>
      <c r="D13" s="1">
        <v>4</v>
      </c>
      <c r="E13" s="1">
        <v>3</v>
      </c>
      <c r="F13" s="1">
        <v>2</v>
      </c>
      <c r="G13" s="1">
        <v>3</v>
      </c>
      <c r="H13" s="1">
        <v>3</v>
      </c>
      <c r="I13" s="1">
        <v>4</v>
      </c>
      <c r="J13" s="1">
        <v>3</v>
      </c>
      <c r="K13" s="1">
        <v>7</v>
      </c>
      <c r="L13" s="1">
        <v>6</v>
      </c>
      <c r="N13" s="1">
        <v>1</v>
      </c>
      <c r="O13" s="1">
        <v>2</v>
      </c>
      <c r="P13" s="1">
        <v>2</v>
      </c>
      <c r="Q13" s="1">
        <v>4</v>
      </c>
      <c r="R13" s="1">
        <v>3</v>
      </c>
      <c r="S13" s="1">
        <v>5</v>
      </c>
      <c r="T13" s="1">
        <v>4</v>
      </c>
      <c r="U13" s="1">
        <v>6</v>
      </c>
      <c r="V13" s="1">
        <v>4</v>
      </c>
      <c r="W13" s="1">
        <v>5</v>
      </c>
      <c r="X13" s="1">
        <f t="shared" si="0"/>
        <v>3.6</v>
      </c>
      <c r="Y13" s="1">
        <f t="shared" si="1"/>
        <v>3.7</v>
      </c>
      <c r="Z13" s="2" t="s">
        <v>32</v>
      </c>
      <c r="AA13">
        <f t="shared" si="2"/>
        <v>0.1</v>
      </c>
    </row>
    <row r="14" spans="1:27">
      <c r="A14" s="1">
        <v>13</v>
      </c>
      <c r="C14" s="1">
        <v>3</v>
      </c>
      <c r="D14" s="1">
        <v>5</v>
      </c>
      <c r="E14" s="1">
        <v>5</v>
      </c>
      <c r="F14" s="1">
        <v>3</v>
      </c>
      <c r="G14" s="1">
        <v>4</v>
      </c>
      <c r="H14" s="1">
        <v>4</v>
      </c>
      <c r="I14" s="1">
        <v>4</v>
      </c>
      <c r="J14" s="1">
        <v>4</v>
      </c>
      <c r="K14" s="1">
        <v>5</v>
      </c>
      <c r="L14" s="1">
        <v>5</v>
      </c>
      <c r="N14" s="1">
        <v>5</v>
      </c>
      <c r="O14" s="1">
        <v>4</v>
      </c>
      <c r="P14" s="1">
        <v>5</v>
      </c>
      <c r="Q14" s="1">
        <v>3</v>
      </c>
      <c r="R14" s="1">
        <v>5</v>
      </c>
      <c r="S14" s="1">
        <v>4</v>
      </c>
      <c r="T14" s="1">
        <v>4</v>
      </c>
      <c r="U14" s="1">
        <v>4</v>
      </c>
      <c r="V14" s="1">
        <v>4</v>
      </c>
      <c r="W14" s="1">
        <v>4</v>
      </c>
      <c r="X14" s="1">
        <f t="shared" si="0"/>
        <v>4.2</v>
      </c>
      <c r="Y14" s="1">
        <f t="shared" si="1"/>
        <v>4.2</v>
      </c>
      <c r="Z14" s="2" t="s">
        <v>25</v>
      </c>
      <c r="AA14">
        <f t="shared" si="2"/>
        <v>0</v>
      </c>
    </row>
    <row r="15" spans="1:27">
      <c r="A15" s="1">
        <v>14</v>
      </c>
      <c r="C15" s="1">
        <v>7</v>
      </c>
      <c r="D15" s="1">
        <v>4</v>
      </c>
      <c r="E15" s="1">
        <v>4</v>
      </c>
      <c r="F15" s="1">
        <v>5</v>
      </c>
      <c r="G15" s="1">
        <v>6</v>
      </c>
      <c r="H15" s="1">
        <v>6</v>
      </c>
      <c r="I15" s="1">
        <v>7</v>
      </c>
      <c r="J15" s="1">
        <v>5</v>
      </c>
      <c r="K15" s="1">
        <v>5</v>
      </c>
      <c r="L15" s="1">
        <v>5</v>
      </c>
      <c r="N15" s="1">
        <v>6</v>
      </c>
      <c r="O15" s="1">
        <v>6</v>
      </c>
      <c r="P15" s="1">
        <v>7</v>
      </c>
      <c r="Q15" s="1">
        <v>5</v>
      </c>
      <c r="R15" s="1">
        <v>4</v>
      </c>
      <c r="S15" s="1">
        <v>4</v>
      </c>
      <c r="T15" s="1">
        <v>5</v>
      </c>
      <c r="U15" s="1">
        <v>6</v>
      </c>
      <c r="V15" s="1">
        <v>6</v>
      </c>
      <c r="W15" s="1">
        <v>5</v>
      </c>
      <c r="X15" s="1">
        <f t="shared" si="0"/>
        <v>5.4</v>
      </c>
      <c r="Y15" s="1">
        <f t="shared" si="1"/>
        <v>5.4</v>
      </c>
      <c r="Z15" s="2" t="s">
        <v>25</v>
      </c>
      <c r="AA15">
        <f t="shared" si="2"/>
        <v>0</v>
      </c>
    </row>
    <row r="16" spans="1:27">
      <c r="A16" s="1">
        <v>15</v>
      </c>
      <c r="C16" s="1">
        <v>1</v>
      </c>
      <c r="D16" s="1">
        <v>2</v>
      </c>
      <c r="E16" s="1">
        <v>2</v>
      </c>
      <c r="F16" s="1">
        <v>1</v>
      </c>
      <c r="G16" s="1">
        <v>2</v>
      </c>
      <c r="H16" s="1">
        <v>2</v>
      </c>
      <c r="I16" s="1">
        <v>1</v>
      </c>
      <c r="J16" s="1">
        <v>2</v>
      </c>
      <c r="K16" s="1">
        <v>2</v>
      </c>
      <c r="L16" s="1">
        <v>2</v>
      </c>
      <c r="N16" s="1">
        <v>1</v>
      </c>
      <c r="O16" s="1">
        <v>1</v>
      </c>
      <c r="P16" s="1">
        <v>2</v>
      </c>
      <c r="Q16" s="1">
        <v>1</v>
      </c>
      <c r="R16" s="1">
        <v>1</v>
      </c>
      <c r="S16" s="1">
        <v>2</v>
      </c>
      <c r="T16" s="1">
        <v>2</v>
      </c>
      <c r="U16" s="1">
        <v>1</v>
      </c>
      <c r="V16" s="1">
        <v>1</v>
      </c>
      <c r="W16" s="1">
        <v>2</v>
      </c>
      <c r="X16" s="1">
        <f t="shared" si="0"/>
        <v>1.4</v>
      </c>
      <c r="Y16" s="1">
        <f t="shared" si="1"/>
        <v>1.7</v>
      </c>
      <c r="Z16" s="2" t="s">
        <v>32</v>
      </c>
      <c r="AA16">
        <f t="shared" si="2"/>
        <v>0.3</v>
      </c>
    </row>
    <row r="17" spans="1:27">
      <c r="A17" s="1">
        <v>16</v>
      </c>
      <c r="C17" s="1">
        <v>4</v>
      </c>
      <c r="D17" s="1">
        <v>5</v>
      </c>
      <c r="E17" s="1">
        <v>4</v>
      </c>
      <c r="F17" s="1">
        <v>7</v>
      </c>
      <c r="G17" s="1">
        <v>2</v>
      </c>
      <c r="H17" s="1">
        <v>5</v>
      </c>
      <c r="I17" s="1">
        <v>6</v>
      </c>
      <c r="J17" s="1">
        <v>2</v>
      </c>
      <c r="K17" s="1">
        <v>5</v>
      </c>
      <c r="L17" s="1">
        <v>5</v>
      </c>
      <c r="N17" s="1">
        <v>4</v>
      </c>
      <c r="O17" s="1">
        <v>5</v>
      </c>
      <c r="P17" s="1">
        <v>4</v>
      </c>
      <c r="Q17" s="1">
        <v>5</v>
      </c>
      <c r="R17" s="1">
        <v>6</v>
      </c>
      <c r="S17" s="1">
        <v>5</v>
      </c>
      <c r="T17" s="1">
        <v>3</v>
      </c>
      <c r="U17" s="1">
        <v>3</v>
      </c>
      <c r="V17" s="1">
        <v>5</v>
      </c>
      <c r="W17" s="1">
        <v>5</v>
      </c>
      <c r="X17" s="1">
        <f t="shared" si="0"/>
        <v>4.5</v>
      </c>
      <c r="Y17" s="1">
        <f t="shared" si="1"/>
        <v>4.5</v>
      </c>
      <c r="Z17" s="2" t="s">
        <v>25</v>
      </c>
      <c r="AA17">
        <f t="shared" si="2"/>
        <v>0</v>
      </c>
    </row>
    <row r="18" spans="1:27">
      <c r="A18" s="1">
        <v>17</v>
      </c>
      <c r="C18" s="1">
        <v>7</v>
      </c>
      <c r="D18" s="1">
        <v>5</v>
      </c>
      <c r="E18" s="1">
        <v>6</v>
      </c>
      <c r="F18" s="1">
        <v>1</v>
      </c>
      <c r="G18" s="1">
        <v>7</v>
      </c>
      <c r="H18" s="1">
        <v>7</v>
      </c>
      <c r="I18" s="1">
        <v>7</v>
      </c>
      <c r="J18" s="1">
        <v>2</v>
      </c>
      <c r="K18" s="1">
        <v>6</v>
      </c>
      <c r="L18" s="1">
        <v>7</v>
      </c>
      <c r="N18" s="1">
        <v>4</v>
      </c>
      <c r="O18" s="1">
        <v>6</v>
      </c>
      <c r="P18" s="1">
        <v>5</v>
      </c>
      <c r="Q18" s="1">
        <v>6</v>
      </c>
      <c r="R18" s="1">
        <v>5</v>
      </c>
      <c r="S18" s="1">
        <v>6</v>
      </c>
      <c r="T18" s="1">
        <v>6</v>
      </c>
      <c r="U18" s="1">
        <v>5</v>
      </c>
      <c r="V18" s="1">
        <v>3</v>
      </c>
      <c r="W18" s="1">
        <v>6</v>
      </c>
      <c r="X18" s="1">
        <f t="shared" si="0"/>
        <v>5.2</v>
      </c>
      <c r="Y18" s="1">
        <f t="shared" si="1"/>
        <v>5.5</v>
      </c>
      <c r="Z18" s="2" t="s">
        <v>25</v>
      </c>
      <c r="AA18">
        <f t="shared" si="2"/>
        <v>0.3</v>
      </c>
    </row>
    <row r="19" spans="1:27">
      <c r="A19" s="1">
        <v>18</v>
      </c>
      <c r="C19" s="1">
        <v>7</v>
      </c>
      <c r="D19" s="1">
        <v>4</v>
      </c>
      <c r="E19" s="1">
        <v>4</v>
      </c>
      <c r="F19" s="1">
        <v>3</v>
      </c>
      <c r="G19" s="1">
        <v>6</v>
      </c>
      <c r="H19" s="1">
        <v>5</v>
      </c>
      <c r="I19" s="1">
        <v>5</v>
      </c>
      <c r="J19" s="1">
        <v>5</v>
      </c>
      <c r="K19" s="1">
        <v>5</v>
      </c>
      <c r="L19" s="1">
        <v>4</v>
      </c>
      <c r="N19" s="1">
        <v>2</v>
      </c>
      <c r="O19" s="1">
        <v>3</v>
      </c>
      <c r="P19" s="1">
        <v>4</v>
      </c>
      <c r="Q19" s="1">
        <v>5</v>
      </c>
      <c r="R19" s="1">
        <v>5</v>
      </c>
      <c r="S19" s="1">
        <v>4</v>
      </c>
      <c r="T19" s="1">
        <v>4</v>
      </c>
      <c r="U19" s="1">
        <v>6</v>
      </c>
      <c r="V19" s="1">
        <v>3</v>
      </c>
      <c r="W19" s="1">
        <v>7</v>
      </c>
      <c r="X19" s="1">
        <f t="shared" si="0"/>
        <v>4.3</v>
      </c>
      <c r="Y19" s="1">
        <f t="shared" si="1"/>
        <v>4.8</v>
      </c>
      <c r="Z19" s="2" t="s">
        <v>25</v>
      </c>
      <c r="AA19">
        <f t="shared" si="2"/>
        <v>0.5</v>
      </c>
    </row>
    <row r="20" spans="1:27">
      <c r="A20" s="1">
        <v>19</v>
      </c>
      <c r="C20" s="1">
        <v>7</v>
      </c>
      <c r="D20" s="1">
        <v>5</v>
      </c>
      <c r="E20" s="1">
        <v>6</v>
      </c>
      <c r="F20" s="1">
        <v>6</v>
      </c>
      <c r="G20" s="1">
        <v>7</v>
      </c>
      <c r="H20" s="1">
        <v>7</v>
      </c>
      <c r="I20" s="1">
        <v>6</v>
      </c>
      <c r="J20" s="1">
        <v>7</v>
      </c>
      <c r="K20" s="1">
        <v>6</v>
      </c>
      <c r="L20" s="1">
        <v>6</v>
      </c>
      <c r="N20" s="1">
        <v>7</v>
      </c>
      <c r="O20" s="1">
        <v>6</v>
      </c>
      <c r="P20" s="1">
        <v>7</v>
      </c>
      <c r="Q20" s="1">
        <v>5</v>
      </c>
      <c r="R20" s="1">
        <v>5</v>
      </c>
      <c r="S20" s="1">
        <v>6</v>
      </c>
      <c r="T20" s="1">
        <v>5</v>
      </c>
      <c r="U20" s="1">
        <v>5</v>
      </c>
      <c r="V20" s="1">
        <v>5</v>
      </c>
      <c r="W20" s="1">
        <v>6</v>
      </c>
      <c r="X20" s="1">
        <f t="shared" si="0"/>
        <v>5.7</v>
      </c>
      <c r="Y20" s="1">
        <f t="shared" si="1"/>
        <v>6.3</v>
      </c>
      <c r="Z20" s="2" t="s">
        <v>25</v>
      </c>
      <c r="AA20">
        <f t="shared" si="2"/>
        <v>0.6</v>
      </c>
    </row>
    <row r="21" spans="1:27">
      <c r="A21" s="1">
        <v>20</v>
      </c>
      <c r="C21" s="1">
        <v>2</v>
      </c>
      <c r="D21" s="1">
        <v>4</v>
      </c>
      <c r="E21" s="1">
        <v>3</v>
      </c>
      <c r="F21" s="1">
        <v>1</v>
      </c>
      <c r="G21" s="1">
        <v>4</v>
      </c>
      <c r="H21" s="1">
        <v>3</v>
      </c>
      <c r="I21" s="1">
        <v>4</v>
      </c>
      <c r="J21" s="1">
        <v>5</v>
      </c>
      <c r="K21" s="1">
        <v>4</v>
      </c>
      <c r="L21" s="1">
        <v>3</v>
      </c>
      <c r="N21" s="1">
        <v>3</v>
      </c>
      <c r="O21" s="1">
        <v>2</v>
      </c>
      <c r="P21" s="1">
        <v>3</v>
      </c>
      <c r="Q21" s="1">
        <v>4</v>
      </c>
      <c r="R21" s="1">
        <v>3</v>
      </c>
      <c r="S21" s="1">
        <v>2</v>
      </c>
      <c r="T21" s="1">
        <v>1</v>
      </c>
      <c r="U21" s="1">
        <v>3</v>
      </c>
      <c r="V21" s="1">
        <v>3</v>
      </c>
      <c r="W21" s="1">
        <v>2</v>
      </c>
      <c r="X21" s="1">
        <f t="shared" si="0"/>
        <v>2.6</v>
      </c>
      <c r="Y21" s="1">
        <f t="shared" si="1"/>
        <v>3.3</v>
      </c>
      <c r="Z21" s="2" t="s">
        <v>25</v>
      </c>
      <c r="AA21">
        <f t="shared" si="2"/>
        <v>0.7</v>
      </c>
    </row>
    <row r="22" spans="1:27">
      <c r="A22" s="1">
        <v>21</v>
      </c>
      <c r="C22" s="1">
        <v>2</v>
      </c>
      <c r="D22" s="1">
        <v>1</v>
      </c>
      <c r="E22" s="1">
        <v>1</v>
      </c>
      <c r="F22" s="1">
        <v>2</v>
      </c>
      <c r="G22" s="1">
        <v>2</v>
      </c>
      <c r="H22" s="1">
        <v>4</v>
      </c>
      <c r="I22" s="1">
        <v>1</v>
      </c>
      <c r="J22" s="1">
        <v>2</v>
      </c>
      <c r="K22" s="1">
        <v>3</v>
      </c>
      <c r="L22" s="1">
        <v>1</v>
      </c>
      <c r="N22" s="1">
        <v>4</v>
      </c>
      <c r="O22" s="1">
        <v>2</v>
      </c>
      <c r="P22" s="1">
        <v>3</v>
      </c>
      <c r="Q22" s="1">
        <v>3</v>
      </c>
      <c r="R22" s="1">
        <v>2</v>
      </c>
      <c r="S22" s="1">
        <v>2</v>
      </c>
      <c r="T22" s="1">
        <v>4</v>
      </c>
      <c r="U22" s="1">
        <v>1</v>
      </c>
      <c r="V22" s="1">
        <v>2</v>
      </c>
      <c r="W22" s="1">
        <v>4</v>
      </c>
      <c r="X22" s="1">
        <f t="shared" si="0"/>
        <v>2.7</v>
      </c>
      <c r="Y22" s="1">
        <f t="shared" si="1"/>
        <v>1.9</v>
      </c>
      <c r="Z22" s="2" t="s">
        <v>25</v>
      </c>
      <c r="AA22">
        <f t="shared" si="2"/>
        <v>-0.8</v>
      </c>
    </row>
    <row r="23" spans="1:27">
      <c r="A23" s="1">
        <v>22</v>
      </c>
      <c r="C23" s="1">
        <v>6</v>
      </c>
      <c r="D23" s="1">
        <v>5</v>
      </c>
      <c r="E23" s="1">
        <v>6</v>
      </c>
      <c r="F23" s="1">
        <v>2</v>
      </c>
      <c r="G23" s="1">
        <v>6</v>
      </c>
      <c r="H23" s="1">
        <v>6</v>
      </c>
      <c r="I23" s="1">
        <v>5</v>
      </c>
      <c r="J23" s="1">
        <v>2</v>
      </c>
      <c r="K23" s="1">
        <v>7</v>
      </c>
      <c r="L23" s="1">
        <v>4</v>
      </c>
      <c r="N23" s="1">
        <v>4</v>
      </c>
      <c r="O23" s="1">
        <v>5</v>
      </c>
      <c r="P23" s="1">
        <v>6</v>
      </c>
      <c r="Q23" s="1">
        <v>6</v>
      </c>
      <c r="R23" s="1">
        <v>6</v>
      </c>
      <c r="S23" s="1">
        <v>5</v>
      </c>
      <c r="T23" s="1">
        <v>6</v>
      </c>
      <c r="U23" s="1">
        <v>5</v>
      </c>
      <c r="V23" s="1">
        <v>6</v>
      </c>
      <c r="W23" s="1">
        <v>6</v>
      </c>
      <c r="X23" s="1">
        <f t="shared" si="0"/>
        <v>5.5</v>
      </c>
      <c r="Y23" s="1">
        <f t="shared" si="1"/>
        <v>4.9</v>
      </c>
      <c r="Z23" s="2" t="s">
        <v>32</v>
      </c>
      <c r="AA23">
        <f t="shared" si="2"/>
        <v>-0.6</v>
      </c>
    </row>
    <row r="24" spans="1:27">
      <c r="A24" s="1">
        <v>23</v>
      </c>
      <c r="C24" s="1">
        <v>6</v>
      </c>
      <c r="D24" s="1">
        <v>3</v>
      </c>
      <c r="E24" s="1">
        <v>4</v>
      </c>
      <c r="F24" s="1">
        <v>4</v>
      </c>
      <c r="G24" s="1">
        <v>5</v>
      </c>
      <c r="H24" s="1">
        <v>5</v>
      </c>
      <c r="I24" s="1">
        <v>6</v>
      </c>
      <c r="J24" s="1">
        <v>5</v>
      </c>
      <c r="K24" s="1">
        <v>4</v>
      </c>
      <c r="L24" s="1">
        <v>4</v>
      </c>
      <c r="N24" s="1">
        <v>5</v>
      </c>
      <c r="O24" s="1">
        <v>4</v>
      </c>
      <c r="P24" s="1">
        <v>4</v>
      </c>
      <c r="Q24" s="1">
        <v>4</v>
      </c>
      <c r="R24" s="1">
        <v>4</v>
      </c>
      <c r="S24" s="1">
        <v>5</v>
      </c>
      <c r="T24" s="1">
        <v>5</v>
      </c>
      <c r="U24" s="1">
        <v>4</v>
      </c>
      <c r="V24" s="1">
        <v>4</v>
      </c>
      <c r="W24" s="1">
        <v>5</v>
      </c>
      <c r="X24" s="1">
        <f t="shared" si="0"/>
        <v>4.4</v>
      </c>
      <c r="Y24" s="1">
        <f t="shared" si="1"/>
        <v>4.6</v>
      </c>
      <c r="Z24" s="2" t="s">
        <v>25</v>
      </c>
      <c r="AA24">
        <f t="shared" si="2"/>
        <v>0.199999999999999</v>
      </c>
    </row>
    <row r="25" spans="1:27">
      <c r="A25" s="1">
        <v>24</v>
      </c>
      <c r="C25" s="1">
        <v>3</v>
      </c>
      <c r="D25" s="1">
        <v>2</v>
      </c>
      <c r="E25" s="1">
        <v>3</v>
      </c>
      <c r="F25" s="1">
        <v>7</v>
      </c>
      <c r="G25" s="1">
        <v>3</v>
      </c>
      <c r="H25" s="1">
        <v>3</v>
      </c>
      <c r="I25" s="1">
        <v>2</v>
      </c>
      <c r="J25" s="1">
        <v>2</v>
      </c>
      <c r="K25" s="1">
        <v>4</v>
      </c>
      <c r="L25" s="1">
        <v>3</v>
      </c>
      <c r="N25" s="1">
        <v>6</v>
      </c>
      <c r="O25" s="1">
        <v>3</v>
      </c>
      <c r="P25" s="1">
        <v>3</v>
      </c>
      <c r="Q25" s="1">
        <v>4</v>
      </c>
      <c r="R25" s="1">
        <v>2</v>
      </c>
      <c r="S25" s="1">
        <v>2</v>
      </c>
      <c r="T25" s="1">
        <v>7</v>
      </c>
      <c r="U25" s="1">
        <v>2</v>
      </c>
      <c r="V25" s="1">
        <v>3</v>
      </c>
      <c r="W25" s="1">
        <v>4</v>
      </c>
      <c r="X25" s="1">
        <f t="shared" si="0"/>
        <v>3.6</v>
      </c>
      <c r="Y25" s="1">
        <f t="shared" si="1"/>
        <v>3.2</v>
      </c>
      <c r="Z25" s="2" t="s">
        <v>25</v>
      </c>
      <c r="AA25">
        <f t="shared" si="2"/>
        <v>-0.4</v>
      </c>
    </row>
    <row r="26" spans="1:27">
      <c r="A26" s="1">
        <v>25</v>
      </c>
      <c r="C26" s="1">
        <v>4</v>
      </c>
      <c r="D26" s="1">
        <v>4</v>
      </c>
      <c r="E26" s="1">
        <v>3</v>
      </c>
      <c r="F26" s="1">
        <v>4</v>
      </c>
      <c r="G26" s="1">
        <v>4</v>
      </c>
      <c r="H26" s="1">
        <v>6</v>
      </c>
      <c r="I26" s="1">
        <v>5</v>
      </c>
      <c r="J26" s="1">
        <v>4</v>
      </c>
      <c r="K26" s="1">
        <v>4</v>
      </c>
      <c r="L26" s="1">
        <v>6</v>
      </c>
      <c r="N26" s="1">
        <v>3</v>
      </c>
      <c r="O26" s="1">
        <v>5</v>
      </c>
      <c r="P26" s="1">
        <v>4</v>
      </c>
      <c r="Q26" s="1">
        <v>4</v>
      </c>
      <c r="R26" s="1">
        <v>6</v>
      </c>
      <c r="S26" s="1">
        <v>4</v>
      </c>
      <c r="T26" s="1">
        <v>5</v>
      </c>
      <c r="U26" s="1">
        <v>4</v>
      </c>
      <c r="V26" s="1">
        <v>4</v>
      </c>
      <c r="W26" s="1">
        <v>5</v>
      </c>
      <c r="X26" s="1">
        <f t="shared" si="0"/>
        <v>4.4</v>
      </c>
      <c r="Y26" s="1">
        <f t="shared" si="1"/>
        <v>4.4</v>
      </c>
      <c r="Z26" s="2" t="s">
        <v>32</v>
      </c>
      <c r="AA26">
        <f t="shared" si="2"/>
        <v>0</v>
      </c>
    </row>
    <row r="27" spans="1:27">
      <c r="A27" s="1">
        <v>26</v>
      </c>
      <c r="C27" s="1">
        <v>5</v>
      </c>
      <c r="D27" s="1">
        <v>5</v>
      </c>
      <c r="E27" s="1">
        <v>5</v>
      </c>
      <c r="F27" s="1">
        <v>6</v>
      </c>
      <c r="G27" s="1">
        <v>6</v>
      </c>
      <c r="H27" s="1">
        <v>6</v>
      </c>
      <c r="I27" s="1">
        <v>3</v>
      </c>
      <c r="J27" s="1">
        <v>5</v>
      </c>
      <c r="K27" s="1">
        <v>2</v>
      </c>
      <c r="L27" s="1">
        <v>4</v>
      </c>
      <c r="N27" s="1">
        <v>3</v>
      </c>
      <c r="O27" s="1">
        <v>7</v>
      </c>
      <c r="P27" s="1">
        <v>4</v>
      </c>
      <c r="Q27" s="1">
        <v>6</v>
      </c>
      <c r="R27" s="1">
        <v>5</v>
      </c>
      <c r="S27" s="1">
        <v>4</v>
      </c>
      <c r="T27" s="1">
        <v>3</v>
      </c>
      <c r="U27" s="1">
        <v>5</v>
      </c>
      <c r="V27" s="1">
        <v>4</v>
      </c>
      <c r="W27" s="1">
        <v>7</v>
      </c>
      <c r="X27" s="1">
        <f t="shared" si="0"/>
        <v>4.8</v>
      </c>
      <c r="Y27" s="1">
        <f t="shared" si="1"/>
        <v>4.7</v>
      </c>
      <c r="Z27" s="2" t="s">
        <v>25</v>
      </c>
      <c r="AA27">
        <f t="shared" si="2"/>
        <v>-0.0999999999999996</v>
      </c>
    </row>
    <row r="28" spans="1:27">
      <c r="A28" s="1">
        <v>27</v>
      </c>
      <c r="C28" s="1">
        <v>3</v>
      </c>
      <c r="D28" s="1">
        <v>6</v>
      </c>
      <c r="E28" s="1">
        <v>4</v>
      </c>
      <c r="F28" s="1">
        <v>2</v>
      </c>
      <c r="G28" s="1">
        <v>5</v>
      </c>
      <c r="H28" s="1">
        <v>5</v>
      </c>
      <c r="I28" s="1">
        <v>2</v>
      </c>
      <c r="J28" s="1">
        <v>2</v>
      </c>
      <c r="K28" s="1">
        <v>2</v>
      </c>
      <c r="L28" s="1">
        <v>6</v>
      </c>
      <c r="N28" s="1">
        <v>2</v>
      </c>
      <c r="O28" s="1">
        <v>4</v>
      </c>
      <c r="P28" s="1">
        <v>2</v>
      </c>
      <c r="Q28" s="1">
        <v>5</v>
      </c>
      <c r="R28" s="1">
        <v>2</v>
      </c>
      <c r="S28" s="1">
        <v>3</v>
      </c>
      <c r="T28" s="1">
        <v>5</v>
      </c>
      <c r="U28" s="1">
        <v>5</v>
      </c>
      <c r="V28" s="1">
        <v>6</v>
      </c>
      <c r="W28" s="1">
        <v>3</v>
      </c>
      <c r="X28" s="1">
        <f t="shared" si="0"/>
        <v>3.7</v>
      </c>
      <c r="Y28" s="1">
        <f t="shared" si="1"/>
        <v>3.7</v>
      </c>
      <c r="Z28" s="2" t="s">
        <v>25</v>
      </c>
      <c r="AA28">
        <f t="shared" si="2"/>
        <v>0</v>
      </c>
    </row>
    <row r="29" spans="1:27">
      <c r="A29" s="1">
        <v>28</v>
      </c>
      <c r="C29" s="1">
        <v>5</v>
      </c>
      <c r="D29" s="1">
        <v>3</v>
      </c>
      <c r="E29" s="1">
        <v>5</v>
      </c>
      <c r="F29" s="1">
        <v>2</v>
      </c>
      <c r="G29" s="1">
        <v>6</v>
      </c>
      <c r="H29" s="1">
        <v>5</v>
      </c>
      <c r="I29" s="1">
        <v>4</v>
      </c>
      <c r="J29" s="1">
        <v>2</v>
      </c>
      <c r="K29" s="1">
        <v>6</v>
      </c>
      <c r="L29" s="1">
        <v>3</v>
      </c>
      <c r="N29" s="1">
        <v>6</v>
      </c>
      <c r="O29" s="1">
        <v>7</v>
      </c>
      <c r="P29" s="1">
        <v>7</v>
      </c>
      <c r="Q29" s="1">
        <v>6</v>
      </c>
      <c r="R29" s="1">
        <v>6</v>
      </c>
      <c r="S29" s="1">
        <v>7</v>
      </c>
      <c r="T29" s="1">
        <v>6</v>
      </c>
      <c r="U29" s="1">
        <v>4</v>
      </c>
      <c r="V29" s="1">
        <v>7</v>
      </c>
      <c r="W29" s="1">
        <v>7</v>
      </c>
      <c r="X29" s="1">
        <f t="shared" si="0"/>
        <v>6.3</v>
      </c>
      <c r="Y29" s="1">
        <f t="shared" si="1"/>
        <v>4.1</v>
      </c>
      <c r="Z29" s="2" t="s">
        <v>32</v>
      </c>
      <c r="AA29">
        <f t="shared" si="2"/>
        <v>-2.2</v>
      </c>
    </row>
    <row r="30" spans="1:27">
      <c r="A30" s="1">
        <v>29</v>
      </c>
      <c r="C30" s="1">
        <v>3</v>
      </c>
      <c r="D30" s="1">
        <v>4</v>
      </c>
      <c r="E30" s="1">
        <v>4</v>
      </c>
      <c r="F30" s="1">
        <v>4</v>
      </c>
      <c r="G30" s="1">
        <v>3</v>
      </c>
      <c r="H30" s="1">
        <v>7</v>
      </c>
      <c r="I30" s="1">
        <v>4</v>
      </c>
      <c r="J30" s="1">
        <v>3</v>
      </c>
      <c r="K30" s="1">
        <v>5</v>
      </c>
      <c r="L30" s="1">
        <v>6</v>
      </c>
      <c r="N30" s="1">
        <v>4</v>
      </c>
      <c r="O30" s="1">
        <v>4</v>
      </c>
      <c r="P30" s="1">
        <v>3</v>
      </c>
      <c r="Q30" s="1">
        <v>5</v>
      </c>
      <c r="R30" s="1">
        <v>3</v>
      </c>
      <c r="S30" s="1">
        <v>4</v>
      </c>
      <c r="T30" s="1">
        <v>5</v>
      </c>
      <c r="U30" s="1">
        <v>5</v>
      </c>
      <c r="V30" s="1">
        <v>5</v>
      </c>
      <c r="W30" s="1">
        <v>6</v>
      </c>
      <c r="X30" s="1">
        <f t="shared" si="0"/>
        <v>4.4</v>
      </c>
      <c r="Y30" s="1">
        <f t="shared" si="1"/>
        <v>4.3</v>
      </c>
      <c r="Z30" s="2" t="s">
        <v>25</v>
      </c>
      <c r="AA30">
        <f t="shared" si="2"/>
        <v>-0.100000000000001</v>
      </c>
    </row>
    <row r="31" spans="1:27">
      <c r="A31" s="1">
        <v>30</v>
      </c>
      <c r="C31" s="1">
        <v>5</v>
      </c>
      <c r="D31" s="1">
        <v>5</v>
      </c>
      <c r="E31" s="1">
        <v>5</v>
      </c>
      <c r="F31" s="1">
        <v>2</v>
      </c>
      <c r="G31" s="1">
        <v>5</v>
      </c>
      <c r="H31" s="1">
        <v>4</v>
      </c>
      <c r="I31" s="1">
        <v>6</v>
      </c>
      <c r="J31" s="1">
        <v>3</v>
      </c>
      <c r="K31" s="1">
        <v>7</v>
      </c>
      <c r="L31" s="1">
        <v>4</v>
      </c>
      <c r="N31" s="1">
        <v>4</v>
      </c>
      <c r="O31" s="1">
        <v>5</v>
      </c>
      <c r="P31" s="1">
        <v>5</v>
      </c>
      <c r="Q31" s="1">
        <v>4</v>
      </c>
      <c r="R31" s="1">
        <v>5</v>
      </c>
      <c r="S31" s="1">
        <v>4</v>
      </c>
      <c r="T31" s="1">
        <v>6</v>
      </c>
      <c r="U31" s="1">
        <v>6</v>
      </c>
      <c r="V31" s="1">
        <v>6</v>
      </c>
      <c r="W31" s="1">
        <v>7</v>
      </c>
      <c r="X31" s="1">
        <f t="shared" si="0"/>
        <v>5.2</v>
      </c>
      <c r="Y31" s="1">
        <f t="shared" si="1"/>
        <v>4.6</v>
      </c>
      <c r="Z31" s="2" t="s">
        <v>32</v>
      </c>
      <c r="AA31">
        <f t="shared" si="2"/>
        <v>-0.600000000000001</v>
      </c>
    </row>
    <row r="32" spans="1:27">
      <c r="A32" s="1">
        <v>31</v>
      </c>
      <c r="C32" s="1">
        <v>5</v>
      </c>
      <c r="D32" s="1">
        <v>2</v>
      </c>
      <c r="E32" s="1">
        <v>2</v>
      </c>
      <c r="F32" s="1">
        <v>1</v>
      </c>
      <c r="G32" s="1">
        <v>5</v>
      </c>
      <c r="H32" s="1">
        <v>4</v>
      </c>
      <c r="I32" s="1">
        <v>5</v>
      </c>
      <c r="J32" s="1">
        <v>4</v>
      </c>
      <c r="K32" s="1">
        <v>5</v>
      </c>
      <c r="L32" s="1">
        <v>3</v>
      </c>
      <c r="N32" s="1">
        <v>1</v>
      </c>
      <c r="O32" s="1">
        <v>2</v>
      </c>
      <c r="P32" s="1">
        <v>3</v>
      </c>
      <c r="Q32" s="1">
        <v>4</v>
      </c>
      <c r="R32" s="1">
        <v>4</v>
      </c>
      <c r="S32" s="1">
        <v>4</v>
      </c>
      <c r="T32" s="1">
        <v>2</v>
      </c>
      <c r="U32" s="1">
        <v>3</v>
      </c>
      <c r="V32" s="1">
        <v>4</v>
      </c>
      <c r="W32" s="1">
        <v>5</v>
      </c>
      <c r="X32" s="1">
        <f t="shared" si="0"/>
        <v>3.2</v>
      </c>
      <c r="Y32" s="1">
        <f t="shared" si="1"/>
        <v>3.6</v>
      </c>
      <c r="Z32" s="2" t="s">
        <v>32</v>
      </c>
      <c r="AA32">
        <f t="shared" si="2"/>
        <v>0.4</v>
      </c>
    </row>
    <row r="33" spans="1:27">
      <c r="A33" s="1">
        <v>32</v>
      </c>
      <c r="C33" s="1">
        <v>5</v>
      </c>
      <c r="D33" s="1">
        <v>3</v>
      </c>
      <c r="E33" s="1">
        <v>5</v>
      </c>
      <c r="F33" s="1">
        <v>2</v>
      </c>
      <c r="G33" s="1">
        <v>4</v>
      </c>
      <c r="H33" s="1">
        <v>4</v>
      </c>
      <c r="I33" s="1">
        <v>4</v>
      </c>
      <c r="J33" s="1">
        <v>2</v>
      </c>
      <c r="K33" s="1">
        <v>1</v>
      </c>
      <c r="L33" s="1">
        <v>4</v>
      </c>
      <c r="N33" s="1">
        <v>4</v>
      </c>
      <c r="O33" s="1">
        <v>3</v>
      </c>
      <c r="P33" s="1">
        <v>4</v>
      </c>
      <c r="Q33" s="1">
        <v>4</v>
      </c>
      <c r="R33" s="1">
        <v>4</v>
      </c>
      <c r="S33" s="1">
        <v>5</v>
      </c>
      <c r="T33" s="1">
        <v>4</v>
      </c>
      <c r="U33" s="1">
        <v>2</v>
      </c>
      <c r="V33" s="1">
        <v>4</v>
      </c>
      <c r="W33" s="1">
        <v>5</v>
      </c>
      <c r="X33" s="1">
        <f t="shared" si="0"/>
        <v>3.9</v>
      </c>
      <c r="Y33" s="1">
        <f t="shared" si="1"/>
        <v>3.4</v>
      </c>
      <c r="Z33" s="2" t="s">
        <v>25</v>
      </c>
      <c r="AA33">
        <f t="shared" si="2"/>
        <v>-0.5</v>
      </c>
    </row>
    <row r="34" spans="1:27">
      <c r="A34" s="1">
        <v>33</v>
      </c>
      <c r="C34" s="1">
        <v>6</v>
      </c>
      <c r="D34" s="1">
        <v>2</v>
      </c>
      <c r="E34" s="1">
        <v>2</v>
      </c>
      <c r="F34" s="1">
        <v>1</v>
      </c>
      <c r="G34" s="1">
        <v>7</v>
      </c>
      <c r="H34" s="1">
        <v>4</v>
      </c>
      <c r="I34" s="1">
        <v>4</v>
      </c>
      <c r="J34" s="1">
        <v>1</v>
      </c>
      <c r="K34" s="1">
        <v>6</v>
      </c>
      <c r="L34" s="1">
        <v>2</v>
      </c>
      <c r="N34" s="1">
        <v>1</v>
      </c>
      <c r="O34" s="1">
        <v>4</v>
      </c>
      <c r="P34" s="1">
        <v>4</v>
      </c>
      <c r="Q34" s="1">
        <v>2</v>
      </c>
      <c r="R34" s="1">
        <v>6</v>
      </c>
      <c r="S34" s="1">
        <v>6</v>
      </c>
      <c r="T34" s="1">
        <v>6</v>
      </c>
      <c r="U34" s="1">
        <v>4</v>
      </c>
      <c r="V34" s="1">
        <v>7</v>
      </c>
      <c r="W34" s="1">
        <v>6</v>
      </c>
      <c r="X34" s="1">
        <f t="shared" si="0"/>
        <v>4.6</v>
      </c>
      <c r="Y34" s="1">
        <f t="shared" si="1"/>
        <v>3.5</v>
      </c>
      <c r="Z34" s="2" t="s">
        <v>32</v>
      </c>
      <c r="AA34">
        <f t="shared" si="2"/>
        <v>-1.1</v>
      </c>
    </row>
    <row r="35" spans="1:27">
      <c r="A35" s="1">
        <v>34</v>
      </c>
      <c r="C35" s="1">
        <v>4</v>
      </c>
      <c r="D35" s="1">
        <v>5</v>
      </c>
      <c r="E35" s="1">
        <v>4</v>
      </c>
      <c r="F35" s="1">
        <v>5</v>
      </c>
      <c r="G35" s="1">
        <v>7</v>
      </c>
      <c r="H35" s="1">
        <v>4</v>
      </c>
      <c r="I35" s="1">
        <v>6</v>
      </c>
      <c r="J35" s="1">
        <v>6</v>
      </c>
      <c r="K35" s="1">
        <v>5</v>
      </c>
      <c r="L35" s="1">
        <v>4</v>
      </c>
      <c r="N35" s="1">
        <v>6</v>
      </c>
      <c r="O35" s="1">
        <v>4</v>
      </c>
      <c r="P35" s="1">
        <v>5</v>
      </c>
      <c r="Q35" s="1">
        <v>3</v>
      </c>
      <c r="R35" s="1">
        <v>6</v>
      </c>
      <c r="S35" s="1">
        <v>5</v>
      </c>
      <c r="T35" s="1">
        <v>4</v>
      </c>
      <c r="U35" s="1">
        <v>4</v>
      </c>
      <c r="V35" s="1">
        <v>5</v>
      </c>
      <c r="W35" s="1">
        <v>5</v>
      </c>
      <c r="X35" s="1">
        <f t="shared" si="0"/>
        <v>4.7</v>
      </c>
      <c r="Y35" s="1">
        <f t="shared" si="1"/>
        <v>5</v>
      </c>
      <c r="Z35" s="2" t="s">
        <v>25</v>
      </c>
      <c r="AA35">
        <f t="shared" ref="AA35:AA66" si="3">Y35-X35</f>
        <v>0.3</v>
      </c>
    </row>
    <row r="36" spans="1:27">
      <c r="A36" s="1">
        <v>35</v>
      </c>
      <c r="C36" s="1">
        <v>5</v>
      </c>
      <c r="D36" s="1">
        <v>6</v>
      </c>
      <c r="E36" s="1">
        <v>6</v>
      </c>
      <c r="F36" s="1">
        <v>3</v>
      </c>
      <c r="G36" s="1">
        <v>3</v>
      </c>
      <c r="H36" s="1">
        <v>5</v>
      </c>
      <c r="I36" s="1">
        <v>6</v>
      </c>
      <c r="J36" s="1">
        <v>5</v>
      </c>
      <c r="K36" s="1">
        <v>4</v>
      </c>
      <c r="L36" s="1">
        <v>5</v>
      </c>
      <c r="N36" s="1">
        <v>3</v>
      </c>
      <c r="O36" s="1">
        <v>6</v>
      </c>
      <c r="P36" s="1">
        <v>7</v>
      </c>
      <c r="Q36" s="1">
        <v>5</v>
      </c>
      <c r="R36" s="1">
        <v>3</v>
      </c>
      <c r="S36" s="1">
        <v>5</v>
      </c>
      <c r="T36" s="1">
        <v>6</v>
      </c>
      <c r="U36" s="1">
        <v>6</v>
      </c>
      <c r="V36" s="1">
        <v>5</v>
      </c>
      <c r="W36" s="1">
        <v>4</v>
      </c>
      <c r="X36" s="1">
        <f t="shared" si="0"/>
        <v>5</v>
      </c>
      <c r="Y36" s="1">
        <f t="shared" si="1"/>
        <v>4.8</v>
      </c>
      <c r="Z36" s="2" t="s">
        <v>25</v>
      </c>
      <c r="AA36">
        <f t="shared" si="3"/>
        <v>-0.2</v>
      </c>
    </row>
    <row r="37" spans="1:27">
      <c r="A37" s="1">
        <v>36</v>
      </c>
      <c r="C37" s="1">
        <v>3</v>
      </c>
      <c r="D37" s="1">
        <v>1</v>
      </c>
      <c r="E37" s="1">
        <v>3</v>
      </c>
      <c r="F37" s="1">
        <v>6</v>
      </c>
      <c r="G37" s="1">
        <v>3</v>
      </c>
      <c r="H37" s="1">
        <v>3</v>
      </c>
      <c r="I37" s="1">
        <v>2</v>
      </c>
      <c r="J37" s="1">
        <v>2</v>
      </c>
      <c r="K37" s="1">
        <v>1</v>
      </c>
      <c r="L37" s="1">
        <v>4</v>
      </c>
      <c r="N37" s="1">
        <v>7</v>
      </c>
      <c r="O37" s="1">
        <v>3</v>
      </c>
      <c r="P37" s="1">
        <v>4</v>
      </c>
      <c r="Q37" s="1">
        <v>3</v>
      </c>
      <c r="R37" s="1">
        <v>4</v>
      </c>
      <c r="S37" s="1">
        <v>4</v>
      </c>
      <c r="T37" s="1">
        <v>1</v>
      </c>
      <c r="U37" s="1">
        <v>1</v>
      </c>
      <c r="V37" s="1">
        <v>4</v>
      </c>
      <c r="W37" s="1">
        <v>4</v>
      </c>
      <c r="X37" s="1">
        <f t="shared" si="0"/>
        <v>3.5</v>
      </c>
      <c r="Y37" s="1">
        <f t="shared" si="1"/>
        <v>2.8</v>
      </c>
      <c r="Z37" s="2" t="s">
        <v>32</v>
      </c>
      <c r="AA37">
        <f t="shared" si="3"/>
        <v>-0.7</v>
      </c>
    </row>
    <row r="38" spans="1:27">
      <c r="A38" s="1">
        <v>37</v>
      </c>
      <c r="C38" s="1">
        <v>2</v>
      </c>
      <c r="D38" s="1">
        <v>2</v>
      </c>
      <c r="E38" s="1">
        <v>1</v>
      </c>
      <c r="F38" s="1">
        <v>2</v>
      </c>
      <c r="G38" s="1">
        <v>2</v>
      </c>
      <c r="H38" s="1">
        <v>2</v>
      </c>
      <c r="I38" s="1">
        <v>3</v>
      </c>
      <c r="J38" s="1">
        <v>2</v>
      </c>
      <c r="K38" s="1">
        <v>2</v>
      </c>
      <c r="L38" s="1">
        <v>2</v>
      </c>
      <c r="N38" s="1">
        <v>2</v>
      </c>
      <c r="O38" s="1">
        <v>1</v>
      </c>
      <c r="P38" s="1">
        <v>2</v>
      </c>
      <c r="Q38" s="1">
        <v>2</v>
      </c>
      <c r="R38" s="1">
        <v>3</v>
      </c>
      <c r="S38" s="1">
        <v>2</v>
      </c>
      <c r="T38" s="1">
        <v>2</v>
      </c>
      <c r="U38" s="1">
        <v>2</v>
      </c>
      <c r="V38" s="1">
        <v>2</v>
      </c>
      <c r="W38" s="1">
        <v>1</v>
      </c>
      <c r="X38" s="1">
        <f t="shared" si="0"/>
        <v>1.9</v>
      </c>
      <c r="Y38" s="1">
        <f t="shared" si="1"/>
        <v>2</v>
      </c>
      <c r="Z38" s="2" t="s">
        <v>25</v>
      </c>
      <c r="AA38">
        <f t="shared" si="3"/>
        <v>0.1</v>
      </c>
    </row>
    <row r="39" spans="1:27">
      <c r="A39" s="1">
        <v>38</v>
      </c>
      <c r="C39" s="1">
        <v>7</v>
      </c>
      <c r="D39" s="1">
        <v>4</v>
      </c>
      <c r="E39" s="1">
        <v>6</v>
      </c>
      <c r="F39" s="1">
        <v>2</v>
      </c>
      <c r="G39" s="1">
        <v>7</v>
      </c>
      <c r="H39" s="1">
        <v>7</v>
      </c>
      <c r="I39" s="1">
        <v>6</v>
      </c>
      <c r="J39" s="1">
        <v>3</v>
      </c>
      <c r="K39" s="1">
        <v>7</v>
      </c>
      <c r="L39" s="1">
        <v>6</v>
      </c>
      <c r="N39" s="1">
        <v>1</v>
      </c>
      <c r="O39" s="1">
        <v>4</v>
      </c>
      <c r="P39" s="1">
        <v>7</v>
      </c>
      <c r="Q39" s="1">
        <v>6</v>
      </c>
      <c r="R39" s="1">
        <v>6</v>
      </c>
      <c r="S39" s="1">
        <v>5</v>
      </c>
      <c r="T39" s="1">
        <v>7</v>
      </c>
      <c r="U39" s="1">
        <v>2</v>
      </c>
      <c r="V39" s="1">
        <v>2</v>
      </c>
      <c r="W39" s="1">
        <v>7</v>
      </c>
      <c r="X39" s="1">
        <f t="shared" si="0"/>
        <v>4.7</v>
      </c>
      <c r="Y39" s="1">
        <f t="shared" si="1"/>
        <v>5.5</v>
      </c>
      <c r="Z39" s="2" t="s">
        <v>25</v>
      </c>
      <c r="AA39">
        <f t="shared" si="3"/>
        <v>0.8</v>
      </c>
    </row>
    <row r="40" spans="1:27">
      <c r="A40" s="1">
        <v>39</v>
      </c>
      <c r="C40" s="1">
        <v>6</v>
      </c>
      <c r="D40" s="1">
        <v>5</v>
      </c>
      <c r="E40" s="1">
        <v>5</v>
      </c>
      <c r="F40" s="1">
        <v>5</v>
      </c>
      <c r="G40" s="1">
        <v>6</v>
      </c>
      <c r="H40" s="1">
        <v>5</v>
      </c>
      <c r="I40" s="1">
        <v>5</v>
      </c>
      <c r="J40" s="1">
        <v>5</v>
      </c>
      <c r="K40" s="1">
        <v>6</v>
      </c>
      <c r="L40" s="1">
        <v>5</v>
      </c>
      <c r="N40" s="1">
        <v>6</v>
      </c>
      <c r="O40" s="1">
        <v>5</v>
      </c>
      <c r="P40" s="1">
        <v>5</v>
      </c>
      <c r="Q40" s="1">
        <v>5</v>
      </c>
      <c r="R40" s="1">
        <v>5</v>
      </c>
      <c r="S40" s="1">
        <v>5</v>
      </c>
      <c r="T40" s="1">
        <v>6</v>
      </c>
      <c r="U40" s="1">
        <v>6</v>
      </c>
      <c r="V40" s="1">
        <v>5</v>
      </c>
      <c r="W40" s="1">
        <v>6</v>
      </c>
      <c r="X40" s="1">
        <f t="shared" si="0"/>
        <v>5.4</v>
      </c>
      <c r="Y40" s="1">
        <f t="shared" si="1"/>
        <v>5.3</v>
      </c>
      <c r="Z40" s="2" t="s">
        <v>25</v>
      </c>
      <c r="AA40">
        <f t="shared" si="3"/>
        <v>-0.100000000000001</v>
      </c>
    </row>
    <row r="41" spans="1:27">
      <c r="A41" s="1">
        <v>40</v>
      </c>
      <c r="C41" s="1">
        <v>7</v>
      </c>
      <c r="D41" s="1">
        <v>3</v>
      </c>
      <c r="E41" s="1">
        <v>4</v>
      </c>
      <c r="F41" s="1">
        <v>1</v>
      </c>
      <c r="G41" s="1">
        <v>6</v>
      </c>
      <c r="H41" s="1">
        <v>5</v>
      </c>
      <c r="I41" s="1">
        <v>2</v>
      </c>
      <c r="J41" s="1">
        <v>1</v>
      </c>
      <c r="K41" s="1">
        <v>7</v>
      </c>
      <c r="L41" s="1">
        <v>1</v>
      </c>
      <c r="N41" s="1">
        <v>5</v>
      </c>
      <c r="O41" s="1">
        <v>6</v>
      </c>
      <c r="P41" s="1">
        <v>4</v>
      </c>
      <c r="Q41" s="1">
        <v>6</v>
      </c>
      <c r="R41" s="1">
        <v>7</v>
      </c>
      <c r="S41" s="1">
        <v>5</v>
      </c>
      <c r="T41" s="1">
        <v>7</v>
      </c>
      <c r="U41" s="1">
        <v>2</v>
      </c>
      <c r="V41" s="1">
        <v>6</v>
      </c>
      <c r="W41" s="1">
        <v>7</v>
      </c>
      <c r="X41" s="1">
        <f t="shared" si="0"/>
        <v>5.5</v>
      </c>
      <c r="Y41" s="1">
        <f t="shared" si="1"/>
        <v>3.7</v>
      </c>
      <c r="Z41" s="2" t="s">
        <v>25</v>
      </c>
      <c r="AA41">
        <f t="shared" si="3"/>
        <v>-1.8</v>
      </c>
    </row>
    <row r="42" spans="1:27">
      <c r="A42" s="1">
        <v>41</v>
      </c>
      <c r="C42" s="1">
        <v>5</v>
      </c>
      <c r="D42" s="1">
        <v>5</v>
      </c>
      <c r="E42" s="1">
        <v>3</v>
      </c>
      <c r="F42" s="1">
        <v>1</v>
      </c>
      <c r="G42" s="1">
        <v>5</v>
      </c>
      <c r="H42" s="1">
        <v>5</v>
      </c>
      <c r="I42" s="1">
        <v>5</v>
      </c>
      <c r="J42" s="1">
        <v>4</v>
      </c>
      <c r="K42" s="1">
        <v>3</v>
      </c>
      <c r="L42" s="1">
        <v>2</v>
      </c>
      <c r="N42" s="1">
        <v>2</v>
      </c>
      <c r="O42" s="1">
        <v>5</v>
      </c>
      <c r="P42" s="1">
        <v>5</v>
      </c>
      <c r="Q42" s="1">
        <v>5</v>
      </c>
      <c r="R42" s="1">
        <v>6</v>
      </c>
      <c r="S42" s="1">
        <v>2</v>
      </c>
      <c r="T42" s="1">
        <v>5</v>
      </c>
      <c r="U42" s="1">
        <v>6</v>
      </c>
      <c r="V42" s="1">
        <v>4</v>
      </c>
      <c r="W42" s="1">
        <v>6</v>
      </c>
      <c r="X42" s="1">
        <f t="shared" si="0"/>
        <v>4.6</v>
      </c>
      <c r="Y42" s="1">
        <f t="shared" si="1"/>
        <v>3.8</v>
      </c>
      <c r="Z42" s="2" t="s">
        <v>25</v>
      </c>
      <c r="AA42">
        <f t="shared" si="3"/>
        <v>-0.8</v>
      </c>
    </row>
    <row r="43" spans="1:27">
      <c r="A43" s="1">
        <v>42</v>
      </c>
      <c r="C43" s="1">
        <v>4</v>
      </c>
      <c r="D43" s="1">
        <v>5</v>
      </c>
      <c r="E43" s="1">
        <v>3</v>
      </c>
      <c r="F43" s="1">
        <v>1</v>
      </c>
      <c r="G43" s="1">
        <v>6</v>
      </c>
      <c r="H43" s="1">
        <v>5</v>
      </c>
      <c r="I43" s="1">
        <v>5</v>
      </c>
      <c r="J43" s="1">
        <v>3</v>
      </c>
      <c r="K43" s="1">
        <v>1</v>
      </c>
      <c r="L43" s="1">
        <v>1</v>
      </c>
      <c r="N43" s="1">
        <v>1</v>
      </c>
      <c r="O43" s="1">
        <v>4</v>
      </c>
      <c r="P43" s="1">
        <v>4</v>
      </c>
      <c r="Q43" s="1">
        <v>4</v>
      </c>
      <c r="R43" s="1">
        <v>5</v>
      </c>
      <c r="S43" s="1">
        <v>4</v>
      </c>
      <c r="T43" s="1">
        <v>1</v>
      </c>
      <c r="U43" s="1">
        <v>5</v>
      </c>
      <c r="V43" s="1">
        <v>1</v>
      </c>
      <c r="W43" s="1">
        <v>4</v>
      </c>
      <c r="X43" s="1">
        <f t="shared" si="0"/>
        <v>3.3</v>
      </c>
      <c r="Y43" s="1">
        <f t="shared" si="1"/>
        <v>3.4</v>
      </c>
      <c r="Z43" s="2" t="s">
        <v>25</v>
      </c>
      <c r="AA43">
        <f t="shared" si="3"/>
        <v>0.1</v>
      </c>
    </row>
    <row r="44" spans="1:27">
      <c r="A44" s="1">
        <v>43</v>
      </c>
      <c r="C44" s="1">
        <v>7</v>
      </c>
      <c r="D44" s="1">
        <v>5</v>
      </c>
      <c r="E44" s="1">
        <v>5</v>
      </c>
      <c r="F44" s="1">
        <v>2</v>
      </c>
      <c r="G44" s="1">
        <v>5</v>
      </c>
      <c r="H44" s="1">
        <v>5</v>
      </c>
      <c r="I44" s="1">
        <v>7</v>
      </c>
      <c r="J44" s="1">
        <v>6</v>
      </c>
      <c r="K44" s="1">
        <v>7</v>
      </c>
      <c r="L44" s="1">
        <v>6</v>
      </c>
      <c r="N44" s="1">
        <v>4</v>
      </c>
      <c r="O44" s="1">
        <v>4</v>
      </c>
      <c r="P44" s="1">
        <v>5</v>
      </c>
      <c r="Q44" s="1">
        <v>3</v>
      </c>
      <c r="R44" s="1">
        <v>5</v>
      </c>
      <c r="S44" s="1">
        <v>7</v>
      </c>
      <c r="T44" s="1">
        <v>7</v>
      </c>
      <c r="U44" s="1">
        <v>5</v>
      </c>
      <c r="V44" s="1">
        <v>3</v>
      </c>
      <c r="W44" s="1">
        <v>7</v>
      </c>
      <c r="X44" s="1">
        <f t="shared" si="0"/>
        <v>5</v>
      </c>
      <c r="Y44" s="1">
        <f t="shared" si="1"/>
        <v>5.5</v>
      </c>
      <c r="Z44" s="2" t="s">
        <v>32</v>
      </c>
      <c r="AA44">
        <f t="shared" si="3"/>
        <v>0.5</v>
      </c>
    </row>
    <row r="45" spans="1:27">
      <c r="A45" s="1">
        <v>44</v>
      </c>
      <c r="C45" s="1">
        <v>7</v>
      </c>
      <c r="D45" s="1">
        <v>7</v>
      </c>
      <c r="E45" s="1">
        <v>7</v>
      </c>
      <c r="F45" s="1">
        <v>1</v>
      </c>
      <c r="G45" s="1">
        <v>7</v>
      </c>
      <c r="H45" s="1">
        <v>7</v>
      </c>
      <c r="I45" s="1">
        <v>5</v>
      </c>
      <c r="J45" s="1">
        <v>4</v>
      </c>
      <c r="K45" s="1">
        <v>5</v>
      </c>
      <c r="L45" s="1">
        <v>7</v>
      </c>
      <c r="N45" s="1">
        <v>6</v>
      </c>
      <c r="O45" s="1">
        <v>6</v>
      </c>
      <c r="P45" s="1">
        <v>7</v>
      </c>
      <c r="Q45" s="1">
        <v>6</v>
      </c>
      <c r="R45" s="1">
        <v>7</v>
      </c>
      <c r="S45" s="1">
        <v>7</v>
      </c>
      <c r="T45" s="1">
        <v>5</v>
      </c>
      <c r="U45" s="1">
        <v>6</v>
      </c>
      <c r="V45" s="1">
        <v>5</v>
      </c>
      <c r="W45" s="1">
        <v>5</v>
      </c>
      <c r="X45" s="1">
        <f t="shared" si="0"/>
        <v>6</v>
      </c>
      <c r="Y45" s="1">
        <f t="shared" si="1"/>
        <v>5.7</v>
      </c>
      <c r="Z45" s="2" t="s">
        <v>25</v>
      </c>
      <c r="AA45">
        <f t="shared" si="3"/>
        <v>-0.3</v>
      </c>
    </row>
    <row r="46" spans="1:27">
      <c r="A46" s="1">
        <v>45</v>
      </c>
      <c r="C46" s="1">
        <v>1</v>
      </c>
      <c r="D46" s="1">
        <v>2</v>
      </c>
      <c r="E46" s="1">
        <v>1</v>
      </c>
      <c r="F46" s="1">
        <v>3</v>
      </c>
      <c r="G46" s="1">
        <v>2</v>
      </c>
      <c r="H46" s="1">
        <v>2</v>
      </c>
      <c r="I46" s="1">
        <v>2</v>
      </c>
      <c r="J46" s="1">
        <v>2</v>
      </c>
      <c r="K46" s="1">
        <v>2</v>
      </c>
      <c r="L46" s="1">
        <v>3</v>
      </c>
      <c r="N46" s="1">
        <v>2</v>
      </c>
      <c r="O46" s="1">
        <v>2</v>
      </c>
      <c r="P46" s="1">
        <v>2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  <c r="V46" s="1">
        <v>2</v>
      </c>
      <c r="W46" s="1">
        <v>2</v>
      </c>
      <c r="X46" s="1">
        <f t="shared" si="0"/>
        <v>2</v>
      </c>
      <c r="Y46" s="1">
        <f t="shared" si="1"/>
        <v>2</v>
      </c>
      <c r="Z46" s="2" t="s">
        <v>25</v>
      </c>
      <c r="AA46">
        <f t="shared" si="3"/>
        <v>0</v>
      </c>
    </row>
    <row r="47" spans="1:27">
      <c r="A47" s="1">
        <v>46</v>
      </c>
      <c r="C47" s="1">
        <v>4</v>
      </c>
      <c r="D47" s="1">
        <v>5</v>
      </c>
      <c r="E47" s="1">
        <v>5</v>
      </c>
      <c r="F47" s="1">
        <v>6</v>
      </c>
      <c r="G47" s="1">
        <v>5</v>
      </c>
      <c r="H47" s="1">
        <v>7</v>
      </c>
      <c r="I47" s="1">
        <v>4</v>
      </c>
      <c r="J47" s="1">
        <v>2</v>
      </c>
      <c r="K47" s="1">
        <v>5</v>
      </c>
      <c r="L47" s="1">
        <v>5</v>
      </c>
      <c r="N47" s="1">
        <v>3</v>
      </c>
      <c r="O47" s="1">
        <v>3</v>
      </c>
      <c r="P47" s="1">
        <v>4</v>
      </c>
      <c r="Q47" s="1">
        <v>6</v>
      </c>
      <c r="R47" s="1">
        <v>5</v>
      </c>
      <c r="S47" s="1">
        <v>5</v>
      </c>
      <c r="T47" s="1">
        <v>2</v>
      </c>
      <c r="U47" s="1">
        <v>5</v>
      </c>
      <c r="V47" s="1">
        <v>2</v>
      </c>
      <c r="W47" s="1">
        <v>2</v>
      </c>
      <c r="X47" s="1">
        <f t="shared" si="0"/>
        <v>3.7</v>
      </c>
      <c r="Y47" s="1">
        <f t="shared" si="1"/>
        <v>4.8</v>
      </c>
      <c r="Z47" s="2" t="s">
        <v>25</v>
      </c>
      <c r="AA47">
        <f t="shared" si="3"/>
        <v>1.1</v>
      </c>
    </row>
    <row r="48" spans="1:27">
      <c r="A48" s="1">
        <v>47</v>
      </c>
      <c r="C48" s="1">
        <v>7</v>
      </c>
      <c r="D48" s="1">
        <v>6</v>
      </c>
      <c r="E48" s="1">
        <v>7</v>
      </c>
      <c r="F48" s="1">
        <v>3</v>
      </c>
      <c r="G48" s="1">
        <v>7</v>
      </c>
      <c r="H48" s="1">
        <v>7</v>
      </c>
      <c r="I48" s="1">
        <v>4</v>
      </c>
      <c r="J48" s="1">
        <v>2</v>
      </c>
      <c r="K48" s="1">
        <v>7</v>
      </c>
      <c r="L48" s="1">
        <v>3</v>
      </c>
      <c r="N48" s="1">
        <v>6</v>
      </c>
      <c r="O48" s="1">
        <v>7</v>
      </c>
      <c r="P48" s="1">
        <v>6</v>
      </c>
      <c r="Q48" s="1">
        <v>3</v>
      </c>
      <c r="R48" s="1">
        <v>7</v>
      </c>
      <c r="S48" s="1">
        <v>7</v>
      </c>
      <c r="T48" s="1">
        <v>5</v>
      </c>
      <c r="U48" s="1">
        <v>7</v>
      </c>
      <c r="V48" s="1">
        <v>6</v>
      </c>
      <c r="W48" s="1">
        <v>6</v>
      </c>
      <c r="X48" s="1">
        <f t="shared" si="0"/>
        <v>6</v>
      </c>
      <c r="Y48" s="1">
        <f t="shared" si="1"/>
        <v>5.3</v>
      </c>
      <c r="Z48" s="2" t="s">
        <v>25</v>
      </c>
      <c r="AA48">
        <f t="shared" si="3"/>
        <v>-0.7</v>
      </c>
    </row>
    <row r="49" spans="1:27">
      <c r="A49" s="1">
        <v>48</v>
      </c>
      <c r="C49" s="1">
        <v>4</v>
      </c>
      <c r="D49" s="1">
        <v>5</v>
      </c>
      <c r="E49" s="1">
        <v>2</v>
      </c>
      <c r="F49" s="1">
        <v>3</v>
      </c>
      <c r="G49" s="1">
        <v>4</v>
      </c>
      <c r="H49" s="1">
        <v>5</v>
      </c>
      <c r="I49" s="1">
        <v>5</v>
      </c>
      <c r="J49" s="1">
        <v>5</v>
      </c>
      <c r="K49" s="1">
        <v>4</v>
      </c>
      <c r="L49" s="1">
        <v>6</v>
      </c>
      <c r="N49" s="1">
        <v>1</v>
      </c>
      <c r="O49" s="1">
        <v>3</v>
      </c>
      <c r="P49" s="1">
        <v>3</v>
      </c>
      <c r="Q49" s="1">
        <v>4</v>
      </c>
      <c r="R49" s="1">
        <v>4</v>
      </c>
      <c r="S49" s="1">
        <v>2</v>
      </c>
      <c r="T49" s="1">
        <v>2</v>
      </c>
      <c r="U49" s="1">
        <v>4</v>
      </c>
      <c r="V49" s="1">
        <v>3</v>
      </c>
      <c r="W49" s="1">
        <v>4</v>
      </c>
      <c r="X49" s="1">
        <f t="shared" si="0"/>
        <v>3</v>
      </c>
      <c r="Y49" s="1">
        <f t="shared" si="1"/>
        <v>4.3</v>
      </c>
      <c r="Z49" s="2" t="s">
        <v>32</v>
      </c>
      <c r="AA49">
        <f t="shared" si="3"/>
        <v>1.3</v>
      </c>
    </row>
    <row r="50" spans="1:27">
      <c r="A50" s="1">
        <v>49</v>
      </c>
      <c r="C50" s="1">
        <v>4</v>
      </c>
      <c r="D50" s="1">
        <v>4</v>
      </c>
      <c r="E50" s="1">
        <v>3</v>
      </c>
      <c r="F50" s="1">
        <v>1</v>
      </c>
      <c r="G50" s="1">
        <v>5</v>
      </c>
      <c r="H50" s="1">
        <v>4</v>
      </c>
      <c r="I50" s="1">
        <v>3</v>
      </c>
      <c r="J50" s="1">
        <v>3</v>
      </c>
      <c r="K50" s="1">
        <v>4</v>
      </c>
      <c r="L50" s="1">
        <v>2</v>
      </c>
      <c r="N50" s="1">
        <v>3</v>
      </c>
      <c r="O50" s="1">
        <v>2</v>
      </c>
      <c r="P50" s="1">
        <v>3</v>
      </c>
      <c r="Q50" s="1">
        <v>4</v>
      </c>
      <c r="R50" s="1">
        <v>5</v>
      </c>
      <c r="S50" s="1">
        <v>2</v>
      </c>
      <c r="T50" s="1">
        <v>4</v>
      </c>
      <c r="U50" s="1">
        <v>3</v>
      </c>
      <c r="V50" s="1">
        <v>4</v>
      </c>
      <c r="W50" s="1">
        <v>4</v>
      </c>
      <c r="X50" s="1">
        <f t="shared" si="0"/>
        <v>3.4</v>
      </c>
      <c r="Y50" s="1">
        <f t="shared" si="1"/>
        <v>3.3</v>
      </c>
      <c r="Z50" s="2" t="s">
        <v>32</v>
      </c>
      <c r="AA50">
        <f t="shared" si="3"/>
        <v>-0.1</v>
      </c>
    </row>
    <row r="51" spans="1:27">
      <c r="A51" s="1">
        <v>50</v>
      </c>
      <c r="C51" s="1">
        <v>5</v>
      </c>
      <c r="D51" s="1">
        <v>4</v>
      </c>
      <c r="E51" s="1">
        <v>5</v>
      </c>
      <c r="F51" s="1">
        <v>2</v>
      </c>
      <c r="G51" s="1">
        <v>5</v>
      </c>
      <c r="H51" s="1">
        <v>5</v>
      </c>
      <c r="I51" s="1">
        <v>6</v>
      </c>
      <c r="J51" s="1">
        <v>4</v>
      </c>
      <c r="K51" s="1">
        <v>6</v>
      </c>
      <c r="L51" s="1">
        <v>6</v>
      </c>
      <c r="N51" s="1">
        <v>5</v>
      </c>
      <c r="O51" s="1">
        <v>5</v>
      </c>
      <c r="P51" s="1">
        <v>5</v>
      </c>
      <c r="Q51" s="1">
        <v>5</v>
      </c>
      <c r="R51" s="1">
        <v>7</v>
      </c>
      <c r="S51" s="1">
        <v>6</v>
      </c>
      <c r="T51" s="1">
        <v>5</v>
      </c>
      <c r="U51" s="1">
        <v>6</v>
      </c>
      <c r="V51" s="1">
        <v>5</v>
      </c>
      <c r="W51" s="1">
        <v>6</v>
      </c>
      <c r="X51" s="1">
        <f t="shared" si="0"/>
        <v>5.5</v>
      </c>
      <c r="Y51" s="1">
        <f t="shared" si="1"/>
        <v>4.8</v>
      </c>
      <c r="Z51" s="2" t="s">
        <v>25</v>
      </c>
      <c r="AA51">
        <f t="shared" si="3"/>
        <v>-0.7</v>
      </c>
    </row>
    <row r="52" spans="1:27">
      <c r="A52" s="1">
        <v>51</v>
      </c>
      <c r="C52" s="1">
        <v>5</v>
      </c>
      <c r="D52" s="1">
        <v>4</v>
      </c>
      <c r="E52" s="1">
        <v>5</v>
      </c>
      <c r="F52" s="1">
        <v>6</v>
      </c>
      <c r="G52" s="1">
        <v>4</v>
      </c>
      <c r="H52" s="1">
        <v>5</v>
      </c>
      <c r="I52" s="1">
        <v>5</v>
      </c>
      <c r="J52" s="1">
        <v>3</v>
      </c>
      <c r="K52" s="1">
        <v>5</v>
      </c>
      <c r="L52" s="1">
        <v>3</v>
      </c>
      <c r="N52" s="1">
        <v>4</v>
      </c>
      <c r="O52" s="1">
        <v>4</v>
      </c>
      <c r="P52" s="1">
        <v>5</v>
      </c>
      <c r="Q52" s="1">
        <v>3</v>
      </c>
      <c r="R52" s="1">
        <v>5</v>
      </c>
      <c r="S52" s="1">
        <v>4</v>
      </c>
      <c r="T52" s="1">
        <v>5</v>
      </c>
      <c r="U52" s="1">
        <v>5</v>
      </c>
      <c r="V52" s="1">
        <v>5</v>
      </c>
      <c r="W52" s="1">
        <v>3</v>
      </c>
      <c r="X52" s="1">
        <f t="shared" si="0"/>
        <v>4.3</v>
      </c>
      <c r="Y52" s="1">
        <f t="shared" si="1"/>
        <v>4.5</v>
      </c>
      <c r="Z52" s="2" t="s">
        <v>25</v>
      </c>
      <c r="AA52">
        <f t="shared" si="3"/>
        <v>0.2</v>
      </c>
    </row>
    <row r="53" spans="1:27">
      <c r="A53" s="1">
        <v>52</v>
      </c>
      <c r="C53" s="1">
        <v>5</v>
      </c>
      <c r="D53" s="1">
        <v>5</v>
      </c>
      <c r="E53" s="1">
        <v>5</v>
      </c>
      <c r="F53" s="1">
        <v>4</v>
      </c>
      <c r="G53" s="1">
        <v>5</v>
      </c>
      <c r="H53" s="1">
        <v>4</v>
      </c>
      <c r="I53" s="1">
        <v>4</v>
      </c>
      <c r="J53" s="1">
        <v>5</v>
      </c>
      <c r="K53" s="1">
        <v>1</v>
      </c>
      <c r="L53" s="1">
        <v>5</v>
      </c>
      <c r="N53" s="1">
        <v>3</v>
      </c>
      <c r="O53" s="1">
        <v>2</v>
      </c>
      <c r="P53" s="1">
        <v>4</v>
      </c>
      <c r="Q53" s="1">
        <v>4</v>
      </c>
      <c r="R53" s="1">
        <v>4</v>
      </c>
      <c r="S53" s="1">
        <v>4</v>
      </c>
      <c r="T53" s="1">
        <v>4</v>
      </c>
      <c r="U53" s="1">
        <v>5</v>
      </c>
      <c r="V53" s="1">
        <v>4</v>
      </c>
      <c r="W53" s="1">
        <v>3</v>
      </c>
      <c r="X53" s="1">
        <f t="shared" si="0"/>
        <v>3.7</v>
      </c>
      <c r="Y53" s="1">
        <f t="shared" si="1"/>
        <v>4.3</v>
      </c>
      <c r="Z53" s="2" t="s">
        <v>25</v>
      </c>
      <c r="AA53">
        <f t="shared" si="3"/>
        <v>0.6</v>
      </c>
    </row>
    <row r="54" spans="1:27">
      <c r="A54" s="1">
        <v>53</v>
      </c>
      <c r="C54" s="1">
        <v>3</v>
      </c>
      <c r="D54" s="1">
        <v>4</v>
      </c>
      <c r="E54" s="1">
        <v>2</v>
      </c>
      <c r="F54" s="1">
        <v>3</v>
      </c>
      <c r="G54" s="1">
        <v>2</v>
      </c>
      <c r="H54" s="1">
        <v>5</v>
      </c>
      <c r="I54" s="1">
        <v>5</v>
      </c>
      <c r="J54" s="1">
        <v>4</v>
      </c>
      <c r="K54" s="1">
        <v>2</v>
      </c>
      <c r="L54" s="1">
        <v>4</v>
      </c>
      <c r="N54" s="1">
        <v>3</v>
      </c>
      <c r="O54" s="1">
        <v>3</v>
      </c>
      <c r="P54" s="1">
        <v>5</v>
      </c>
      <c r="Q54" s="1">
        <v>6</v>
      </c>
      <c r="R54" s="1">
        <v>6</v>
      </c>
      <c r="S54" s="1">
        <v>1</v>
      </c>
      <c r="T54" s="1">
        <v>1</v>
      </c>
      <c r="U54" s="1">
        <v>5</v>
      </c>
      <c r="V54" s="1">
        <v>1</v>
      </c>
      <c r="W54" s="1">
        <v>3</v>
      </c>
      <c r="X54" s="1">
        <f t="shared" si="0"/>
        <v>3.4</v>
      </c>
      <c r="Y54" s="1">
        <f t="shared" si="1"/>
        <v>3.4</v>
      </c>
      <c r="Z54" s="2" t="s">
        <v>25</v>
      </c>
      <c r="AA54">
        <f t="shared" si="3"/>
        <v>0</v>
      </c>
    </row>
    <row r="55" spans="1:27">
      <c r="A55" s="1">
        <v>54</v>
      </c>
      <c r="C55" s="1">
        <v>2</v>
      </c>
      <c r="D55" s="1">
        <v>1</v>
      </c>
      <c r="E55" s="1">
        <v>2</v>
      </c>
      <c r="F55" s="1">
        <v>3</v>
      </c>
      <c r="G55" s="1">
        <v>2</v>
      </c>
      <c r="H55" s="1">
        <v>2</v>
      </c>
      <c r="I55" s="1">
        <v>2</v>
      </c>
      <c r="J55" s="1">
        <v>1</v>
      </c>
      <c r="K55" s="1">
        <v>3</v>
      </c>
      <c r="L55" s="1">
        <v>3</v>
      </c>
      <c r="N55" s="1">
        <v>3</v>
      </c>
      <c r="O55" s="1">
        <v>3</v>
      </c>
      <c r="P55" s="1">
        <v>2</v>
      </c>
      <c r="Q55" s="1">
        <v>2</v>
      </c>
      <c r="R55" s="1">
        <v>3</v>
      </c>
      <c r="S55" s="1">
        <v>2</v>
      </c>
      <c r="T55" s="1">
        <v>3</v>
      </c>
      <c r="U55" s="1">
        <v>1</v>
      </c>
      <c r="V55" s="1">
        <v>2</v>
      </c>
      <c r="W55" s="1">
        <v>3</v>
      </c>
      <c r="X55" s="1">
        <f t="shared" si="0"/>
        <v>2.4</v>
      </c>
      <c r="Y55" s="1">
        <f t="shared" si="1"/>
        <v>2.1</v>
      </c>
      <c r="Z55" s="2" t="s">
        <v>25</v>
      </c>
      <c r="AA55">
        <f t="shared" si="3"/>
        <v>-0.3</v>
      </c>
    </row>
    <row r="56" spans="1:27">
      <c r="A56" s="1">
        <v>55</v>
      </c>
      <c r="C56" s="1">
        <v>4</v>
      </c>
      <c r="D56" s="1">
        <v>5</v>
      </c>
      <c r="E56" s="1">
        <v>5</v>
      </c>
      <c r="F56" s="1">
        <v>5</v>
      </c>
      <c r="G56" s="1">
        <v>4</v>
      </c>
      <c r="H56" s="1">
        <v>3</v>
      </c>
      <c r="I56" s="1">
        <v>5</v>
      </c>
      <c r="J56" s="1">
        <v>4</v>
      </c>
      <c r="K56" s="1">
        <v>4</v>
      </c>
      <c r="L56" s="1">
        <v>4</v>
      </c>
      <c r="N56" s="1">
        <v>4</v>
      </c>
      <c r="O56" s="1">
        <v>5</v>
      </c>
      <c r="P56" s="1">
        <v>3</v>
      </c>
      <c r="Q56" s="1">
        <v>4</v>
      </c>
      <c r="R56" s="1">
        <v>4</v>
      </c>
      <c r="S56" s="1">
        <v>4</v>
      </c>
      <c r="T56" s="1">
        <v>5</v>
      </c>
      <c r="U56" s="1">
        <v>4</v>
      </c>
      <c r="V56" s="1">
        <v>4</v>
      </c>
      <c r="W56" s="1">
        <v>4</v>
      </c>
      <c r="X56" s="1">
        <f t="shared" si="0"/>
        <v>4.1</v>
      </c>
      <c r="Y56" s="1">
        <f t="shared" si="1"/>
        <v>4.3</v>
      </c>
      <c r="Z56" s="2" t="s">
        <v>25</v>
      </c>
      <c r="AA56">
        <f t="shared" si="3"/>
        <v>0.2</v>
      </c>
    </row>
    <row r="57" spans="1:27">
      <c r="A57" s="1">
        <v>56</v>
      </c>
      <c r="C57" s="1">
        <v>6</v>
      </c>
      <c r="D57" s="1">
        <v>6</v>
      </c>
      <c r="E57" s="1">
        <v>7</v>
      </c>
      <c r="F57" s="1">
        <v>2</v>
      </c>
      <c r="G57" s="1">
        <v>5</v>
      </c>
      <c r="H57" s="1">
        <v>6</v>
      </c>
      <c r="I57" s="1">
        <v>7</v>
      </c>
      <c r="J57" s="1">
        <v>5</v>
      </c>
      <c r="K57" s="1">
        <v>6</v>
      </c>
      <c r="L57" s="1">
        <v>6</v>
      </c>
      <c r="N57" s="1">
        <v>7</v>
      </c>
      <c r="O57" s="1">
        <v>6</v>
      </c>
      <c r="P57" s="1">
        <v>7</v>
      </c>
      <c r="Q57" s="1">
        <v>7</v>
      </c>
      <c r="R57" s="1">
        <v>7</v>
      </c>
      <c r="S57" s="1">
        <v>6</v>
      </c>
      <c r="T57" s="1">
        <v>6</v>
      </c>
      <c r="U57" s="1">
        <v>5</v>
      </c>
      <c r="V57" s="1">
        <v>3</v>
      </c>
      <c r="W57" s="1">
        <v>6</v>
      </c>
      <c r="X57" s="1">
        <f t="shared" si="0"/>
        <v>6</v>
      </c>
      <c r="Y57" s="1">
        <f t="shared" si="1"/>
        <v>5.6</v>
      </c>
      <c r="Z57" s="2" t="s">
        <v>25</v>
      </c>
      <c r="AA57">
        <f t="shared" si="3"/>
        <v>-0.4</v>
      </c>
    </row>
    <row r="58" spans="1:27">
      <c r="A58" s="1">
        <v>57</v>
      </c>
      <c r="C58" s="1">
        <v>7</v>
      </c>
      <c r="D58" s="1">
        <v>5</v>
      </c>
      <c r="E58" s="1">
        <v>7</v>
      </c>
      <c r="F58" s="1">
        <v>3</v>
      </c>
      <c r="G58" s="1">
        <v>7</v>
      </c>
      <c r="H58" s="1">
        <v>7</v>
      </c>
      <c r="I58" s="1">
        <v>7</v>
      </c>
      <c r="J58" s="1">
        <v>6</v>
      </c>
      <c r="K58" s="1">
        <v>7</v>
      </c>
      <c r="L58" s="1">
        <v>6</v>
      </c>
      <c r="N58" s="1">
        <v>1</v>
      </c>
      <c r="O58" s="1">
        <v>2</v>
      </c>
      <c r="P58" s="1">
        <v>5</v>
      </c>
      <c r="Q58" s="1">
        <v>4</v>
      </c>
      <c r="R58" s="1">
        <v>4</v>
      </c>
      <c r="S58" s="1">
        <v>2</v>
      </c>
      <c r="T58" s="1">
        <v>4</v>
      </c>
      <c r="U58" s="1">
        <v>7</v>
      </c>
      <c r="V58" s="1">
        <v>4</v>
      </c>
      <c r="W58" s="1">
        <v>5</v>
      </c>
      <c r="X58" s="1">
        <f t="shared" si="0"/>
        <v>3.8</v>
      </c>
      <c r="Y58" s="1">
        <f t="shared" si="1"/>
        <v>6.2</v>
      </c>
      <c r="Z58" s="2" t="s">
        <v>25</v>
      </c>
      <c r="AA58">
        <f t="shared" si="3"/>
        <v>2.4</v>
      </c>
    </row>
    <row r="59" spans="1:27">
      <c r="A59" s="1">
        <v>58</v>
      </c>
      <c r="C59" s="1">
        <v>6</v>
      </c>
      <c r="D59" s="1">
        <v>6</v>
      </c>
      <c r="E59" s="1">
        <v>5</v>
      </c>
      <c r="F59" s="1">
        <v>3</v>
      </c>
      <c r="G59" s="1">
        <v>4</v>
      </c>
      <c r="H59" s="1">
        <v>7</v>
      </c>
      <c r="I59" s="1">
        <v>6</v>
      </c>
      <c r="J59" s="1">
        <v>2</v>
      </c>
      <c r="K59" s="1">
        <v>6</v>
      </c>
      <c r="L59" s="1">
        <v>6</v>
      </c>
      <c r="N59" s="1">
        <v>4</v>
      </c>
      <c r="O59" s="1">
        <v>4</v>
      </c>
      <c r="P59" s="1">
        <v>5</v>
      </c>
      <c r="Q59" s="1">
        <v>7</v>
      </c>
      <c r="R59" s="1">
        <v>6</v>
      </c>
      <c r="S59" s="1">
        <v>5</v>
      </c>
      <c r="T59" s="1">
        <v>5</v>
      </c>
      <c r="U59" s="1">
        <v>7</v>
      </c>
      <c r="V59" s="1">
        <v>3</v>
      </c>
      <c r="W59" s="1">
        <v>5</v>
      </c>
      <c r="X59" s="1">
        <f t="shared" si="0"/>
        <v>5.1</v>
      </c>
      <c r="Y59" s="1">
        <f t="shared" si="1"/>
        <v>5.1</v>
      </c>
      <c r="Z59" s="2" t="s">
        <v>32</v>
      </c>
      <c r="AA59">
        <f t="shared" si="3"/>
        <v>0</v>
      </c>
    </row>
    <row r="60" spans="1:27">
      <c r="A60" s="1">
        <v>59</v>
      </c>
      <c r="C60" s="1">
        <v>4</v>
      </c>
      <c r="D60" s="1">
        <v>2</v>
      </c>
      <c r="E60" s="1">
        <v>1</v>
      </c>
      <c r="F60" s="1">
        <v>2</v>
      </c>
      <c r="G60" s="1">
        <v>5</v>
      </c>
      <c r="H60" s="1">
        <v>2</v>
      </c>
      <c r="I60" s="1">
        <v>2</v>
      </c>
      <c r="J60" s="1">
        <v>1</v>
      </c>
      <c r="K60" s="1">
        <v>3</v>
      </c>
      <c r="L60" s="1">
        <v>3</v>
      </c>
      <c r="N60" s="1">
        <v>2</v>
      </c>
      <c r="O60" s="1">
        <v>4</v>
      </c>
      <c r="P60" s="1">
        <v>5</v>
      </c>
      <c r="Q60" s="1">
        <v>5</v>
      </c>
      <c r="R60" s="1">
        <v>4</v>
      </c>
      <c r="S60" s="1">
        <v>3</v>
      </c>
      <c r="T60" s="1">
        <v>4</v>
      </c>
      <c r="U60" s="1">
        <v>4</v>
      </c>
      <c r="V60" s="1">
        <v>4</v>
      </c>
      <c r="W60" s="1">
        <v>2</v>
      </c>
      <c r="X60" s="1">
        <f t="shared" si="0"/>
        <v>3.7</v>
      </c>
      <c r="Y60" s="1">
        <f t="shared" si="1"/>
        <v>2.5</v>
      </c>
      <c r="Z60" s="2" t="s">
        <v>32</v>
      </c>
      <c r="AA60">
        <f t="shared" si="3"/>
        <v>-1.2</v>
      </c>
    </row>
    <row r="61" spans="1:27">
      <c r="A61" s="1">
        <v>60</v>
      </c>
      <c r="C61" s="1">
        <v>5</v>
      </c>
      <c r="D61" s="1">
        <v>3</v>
      </c>
      <c r="E61" s="1">
        <v>3</v>
      </c>
      <c r="F61" s="1">
        <v>2</v>
      </c>
      <c r="G61" s="1">
        <v>6</v>
      </c>
      <c r="H61" s="1">
        <v>3</v>
      </c>
      <c r="I61" s="1">
        <v>7</v>
      </c>
      <c r="J61" s="1">
        <v>4</v>
      </c>
      <c r="K61" s="1">
        <v>7</v>
      </c>
      <c r="L61" s="1">
        <v>5</v>
      </c>
      <c r="N61" s="1">
        <v>4</v>
      </c>
      <c r="O61" s="1">
        <v>4</v>
      </c>
      <c r="P61" s="1">
        <v>2</v>
      </c>
      <c r="Q61" s="1">
        <v>7</v>
      </c>
      <c r="R61" s="1">
        <v>5</v>
      </c>
      <c r="S61" s="1">
        <v>3</v>
      </c>
      <c r="T61" s="1">
        <v>4</v>
      </c>
      <c r="U61" s="1">
        <v>4</v>
      </c>
      <c r="V61" s="1">
        <v>3</v>
      </c>
      <c r="W61" s="1">
        <v>6</v>
      </c>
      <c r="X61" s="1">
        <f t="shared" si="0"/>
        <v>4.2</v>
      </c>
      <c r="Y61" s="1">
        <f t="shared" si="1"/>
        <v>4.5</v>
      </c>
      <c r="Z61" s="2" t="s">
        <v>25</v>
      </c>
      <c r="AA61">
        <f t="shared" si="3"/>
        <v>0.3</v>
      </c>
    </row>
    <row r="62" spans="1:27">
      <c r="A62" s="1">
        <v>61</v>
      </c>
      <c r="C62" s="1">
        <v>4</v>
      </c>
      <c r="D62" s="1">
        <v>5</v>
      </c>
      <c r="E62" s="1">
        <v>7</v>
      </c>
      <c r="F62" s="1">
        <v>4</v>
      </c>
      <c r="G62" s="1">
        <v>5</v>
      </c>
      <c r="H62" s="1">
        <v>6</v>
      </c>
      <c r="I62" s="1">
        <v>4</v>
      </c>
      <c r="J62" s="1">
        <v>6</v>
      </c>
      <c r="K62" s="1">
        <v>7</v>
      </c>
      <c r="L62" s="1">
        <v>4</v>
      </c>
      <c r="N62" s="1">
        <v>4</v>
      </c>
      <c r="O62" s="1">
        <v>6</v>
      </c>
      <c r="P62" s="1">
        <v>5</v>
      </c>
      <c r="Q62" s="1">
        <v>4</v>
      </c>
      <c r="R62" s="1">
        <v>5</v>
      </c>
      <c r="S62" s="1">
        <v>5</v>
      </c>
      <c r="T62" s="1">
        <v>6</v>
      </c>
      <c r="U62" s="1">
        <v>4</v>
      </c>
      <c r="V62" s="1">
        <v>5</v>
      </c>
      <c r="W62" s="1">
        <v>5</v>
      </c>
      <c r="X62" s="1">
        <f t="shared" si="0"/>
        <v>4.9</v>
      </c>
      <c r="Y62" s="1">
        <f t="shared" si="1"/>
        <v>5.2</v>
      </c>
      <c r="Z62" s="2" t="s">
        <v>32</v>
      </c>
      <c r="AA62">
        <f t="shared" si="3"/>
        <v>0.3</v>
      </c>
    </row>
    <row r="63" spans="1:27">
      <c r="A63" s="1">
        <v>62</v>
      </c>
      <c r="C63" s="1">
        <v>3</v>
      </c>
      <c r="D63" s="1">
        <v>3</v>
      </c>
      <c r="E63" s="1">
        <v>5</v>
      </c>
      <c r="F63" s="1">
        <v>4</v>
      </c>
      <c r="G63" s="1">
        <v>5</v>
      </c>
      <c r="H63" s="1">
        <v>5</v>
      </c>
      <c r="I63" s="1">
        <v>3</v>
      </c>
      <c r="J63" s="1">
        <v>5</v>
      </c>
      <c r="K63" s="1">
        <v>6</v>
      </c>
      <c r="L63" s="1">
        <v>5</v>
      </c>
      <c r="N63" s="1">
        <v>3</v>
      </c>
      <c r="O63" s="1">
        <v>7</v>
      </c>
      <c r="P63" s="1">
        <v>4</v>
      </c>
      <c r="Q63" s="1">
        <v>5</v>
      </c>
      <c r="R63" s="1">
        <v>6</v>
      </c>
      <c r="S63" s="1">
        <v>5</v>
      </c>
      <c r="T63" s="1">
        <v>7</v>
      </c>
      <c r="U63" s="1">
        <v>6</v>
      </c>
      <c r="V63" s="1">
        <v>2</v>
      </c>
      <c r="W63" s="1">
        <v>3</v>
      </c>
      <c r="X63" s="1">
        <f t="shared" si="0"/>
        <v>4.8</v>
      </c>
      <c r="Y63" s="1">
        <f t="shared" si="1"/>
        <v>4.4</v>
      </c>
      <c r="Z63" s="2" t="s">
        <v>25</v>
      </c>
      <c r="AA63">
        <f t="shared" si="3"/>
        <v>-0.399999999999999</v>
      </c>
    </row>
    <row r="64" spans="1:27">
      <c r="A64" s="1">
        <v>63</v>
      </c>
      <c r="C64" s="1">
        <v>4</v>
      </c>
      <c r="D64" s="1">
        <v>4</v>
      </c>
      <c r="E64" s="1">
        <v>6</v>
      </c>
      <c r="F64" s="1">
        <v>1</v>
      </c>
      <c r="G64" s="1">
        <v>4</v>
      </c>
      <c r="H64" s="1">
        <v>5</v>
      </c>
      <c r="I64" s="1">
        <v>7</v>
      </c>
      <c r="J64" s="1">
        <v>6</v>
      </c>
      <c r="K64" s="1">
        <v>4</v>
      </c>
      <c r="L64" s="1">
        <v>4</v>
      </c>
      <c r="N64" s="1">
        <v>7</v>
      </c>
      <c r="O64" s="1">
        <v>7</v>
      </c>
      <c r="P64" s="1">
        <v>4</v>
      </c>
      <c r="Q64" s="1">
        <v>7</v>
      </c>
      <c r="R64" s="1">
        <v>5</v>
      </c>
      <c r="S64" s="1">
        <v>4</v>
      </c>
      <c r="T64" s="1">
        <v>7</v>
      </c>
      <c r="U64" s="1">
        <v>1</v>
      </c>
      <c r="V64" s="1">
        <v>4</v>
      </c>
      <c r="W64" s="1">
        <v>7</v>
      </c>
      <c r="X64" s="1">
        <f t="shared" si="0"/>
        <v>5.3</v>
      </c>
      <c r="Y64" s="1">
        <f t="shared" si="1"/>
        <v>4.5</v>
      </c>
      <c r="Z64" s="2" t="s">
        <v>32</v>
      </c>
      <c r="AA64">
        <f t="shared" si="3"/>
        <v>-0.8</v>
      </c>
    </row>
    <row r="65" spans="1:27">
      <c r="A65" s="1">
        <v>64</v>
      </c>
      <c r="C65" s="1">
        <v>3</v>
      </c>
      <c r="D65" s="1">
        <v>3</v>
      </c>
      <c r="E65" s="1">
        <v>3</v>
      </c>
      <c r="F65" s="1">
        <v>2</v>
      </c>
      <c r="G65" s="1">
        <v>5</v>
      </c>
      <c r="H65" s="1">
        <v>5</v>
      </c>
      <c r="I65" s="1">
        <v>5</v>
      </c>
      <c r="J65" s="1">
        <v>7</v>
      </c>
      <c r="K65" s="1">
        <v>5</v>
      </c>
      <c r="L65" s="1">
        <v>3</v>
      </c>
      <c r="N65" s="1">
        <v>6</v>
      </c>
      <c r="O65" s="1">
        <v>4</v>
      </c>
      <c r="P65" s="1">
        <v>4</v>
      </c>
      <c r="Q65" s="1">
        <v>3</v>
      </c>
      <c r="R65" s="1">
        <v>2</v>
      </c>
      <c r="S65" s="1">
        <v>4</v>
      </c>
      <c r="T65" s="1">
        <v>6</v>
      </c>
      <c r="U65" s="1">
        <v>5</v>
      </c>
      <c r="V65" s="1">
        <v>5</v>
      </c>
      <c r="W65" s="1">
        <v>4</v>
      </c>
      <c r="X65" s="1">
        <f t="shared" si="0"/>
        <v>4.3</v>
      </c>
      <c r="Y65" s="1">
        <f t="shared" si="1"/>
        <v>4.1</v>
      </c>
      <c r="Z65" s="2" t="s">
        <v>25</v>
      </c>
      <c r="AA65">
        <f t="shared" si="3"/>
        <v>-0.2</v>
      </c>
    </row>
    <row r="66" spans="1:27">
      <c r="A66" s="1">
        <v>65</v>
      </c>
      <c r="C66" s="1">
        <v>7</v>
      </c>
      <c r="D66" s="1">
        <v>6</v>
      </c>
      <c r="E66" s="1">
        <v>6</v>
      </c>
      <c r="F66" s="1">
        <v>1</v>
      </c>
      <c r="G66" s="1">
        <v>7</v>
      </c>
      <c r="H66" s="1">
        <v>6</v>
      </c>
      <c r="I66" s="1">
        <v>7</v>
      </c>
      <c r="J66" s="1">
        <v>3</v>
      </c>
      <c r="K66" s="1">
        <v>7</v>
      </c>
      <c r="L66" s="1">
        <v>5</v>
      </c>
      <c r="N66" s="1">
        <v>6</v>
      </c>
      <c r="O66" s="1">
        <v>7</v>
      </c>
      <c r="P66" s="1">
        <v>6</v>
      </c>
      <c r="Q66" s="1">
        <v>7</v>
      </c>
      <c r="R66" s="1">
        <v>7</v>
      </c>
      <c r="S66" s="1">
        <v>6</v>
      </c>
      <c r="T66" s="1">
        <v>6</v>
      </c>
      <c r="U66" s="1">
        <v>6</v>
      </c>
      <c r="V66" s="1">
        <v>4</v>
      </c>
      <c r="W66" s="1">
        <v>6</v>
      </c>
      <c r="X66" s="1">
        <f t="shared" ref="X66:X109" si="4">AVERAGE(N66:W66)</f>
        <v>6.1</v>
      </c>
      <c r="Y66" s="1">
        <f t="shared" ref="Y66:Y109" si="5">AVERAGE(C66:L66)</f>
        <v>5.5</v>
      </c>
      <c r="Z66" s="2" t="s">
        <v>25</v>
      </c>
      <c r="AA66">
        <f t="shared" si="3"/>
        <v>-0.6</v>
      </c>
    </row>
    <row r="67" spans="1:27">
      <c r="A67" s="1">
        <v>66</v>
      </c>
      <c r="C67" s="1">
        <v>7</v>
      </c>
      <c r="D67" s="1">
        <v>3</v>
      </c>
      <c r="E67" s="1">
        <v>4</v>
      </c>
      <c r="F67" s="1">
        <v>5</v>
      </c>
      <c r="G67" s="1">
        <v>7</v>
      </c>
      <c r="H67" s="1">
        <v>5</v>
      </c>
      <c r="I67" s="1">
        <v>6</v>
      </c>
      <c r="J67" s="1">
        <v>2</v>
      </c>
      <c r="K67" s="1">
        <v>6</v>
      </c>
      <c r="L67" s="1">
        <v>5</v>
      </c>
      <c r="N67" s="1">
        <v>4</v>
      </c>
      <c r="O67" s="1">
        <v>6</v>
      </c>
      <c r="P67" s="1">
        <v>6</v>
      </c>
      <c r="Q67" s="1">
        <v>5</v>
      </c>
      <c r="R67" s="1">
        <v>5</v>
      </c>
      <c r="S67" s="1">
        <v>6</v>
      </c>
      <c r="T67" s="1">
        <v>7</v>
      </c>
      <c r="U67" s="1">
        <v>4</v>
      </c>
      <c r="V67" s="1">
        <v>6</v>
      </c>
      <c r="W67" s="1">
        <v>6</v>
      </c>
      <c r="X67" s="1">
        <f t="shared" si="4"/>
        <v>5.5</v>
      </c>
      <c r="Y67" s="1">
        <f t="shared" si="5"/>
        <v>5</v>
      </c>
      <c r="Z67" s="2" t="s">
        <v>32</v>
      </c>
      <c r="AA67">
        <f t="shared" ref="AA67:AA109" si="6">Y67-X67</f>
        <v>-0.5</v>
      </c>
    </row>
    <row r="68" spans="1:27">
      <c r="A68" s="1">
        <v>67</v>
      </c>
      <c r="C68" s="1">
        <v>7</v>
      </c>
      <c r="D68" s="1">
        <v>2</v>
      </c>
      <c r="E68" s="1">
        <v>6</v>
      </c>
      <c r="F68" s="1">
        <v>1</v>
      </c>
      <c r="G68" s="1">
        <v>6</v>
      </c>
      <c r="H68" s="1">
        <v>4</v>
      </c>
      <c r="I68" s="1">
        <v>2</v>
      </c>
      <c r="J68" s="1">
        <v>1</v>
      </c>
      <c r="K68" s="1">
        <v>6</v>
      </c>
      <c r="L68" s="1">
        <v>2</v>
      </c>
      <c r="N68" s="1">
        <v>5</v>
      </c>
      <c r="O68" s="1">
        <v>6</v>
      </c>
      <c r="P68" s="1">
        <v>3</v>
      </c>
      <c r="Q68" s="1">
        <v>7</v>
      </c>
      <c r="R68" s="1">
        <v>6</v>
      </c>
      <c r="S68" s="1">
        <v>6</v>
      </c>
      <c r="T68" s="1">
        <v>6</v>
      </c>
      <c r="U68" s="1">
        <v>3</v>
      </c>
      <c r="V68" s="1">
        <v>2</v>
      </c>
      <c r="W68" s="1">
        <v>7</v>
      </c>
      <c r="X68" s="1">
        <f t="shared" si="4"/>
        <v>5.1</v>
      </c>
      <c r="Y68" s="1">
        <f t="shared" si="5"/>
        <v>3.7</v>
      </c>
      <c r="Z68" s="2" t="s">
        <v>25</v>
      </c>
      <c r="AA68">
        <f t="shared" si="6"/>
        <v>-1.4</v>
      </c>
    </row>
    <row r="69" spans="1:27">
      <c r="A69" s="1">
        <v>68</v>
      </c>
      <c r="C69" s="1">
        <v>5</v>
      </c>
      <c r="D69" s="1">
        <v>3</v>
      </c>
      <c r="E69" s="1">
        <v>6</v>
      </c>
      <c r="F69" s="1">
        <v>3</v>
      </c>
      <c r="G69" s="1">
        <v>5</v>
      </c>
      <c r="H69" s="1">
        <v>5</v>
      </c>
      <c r="I69" s="1">
        <v>6</v>
      </c>
      <c r="J69" s="1">
        <v>4</v>
      </c>
      <c r="K69" s="1">
        <v>7</v>
      </c>
      <c r="L69" s="1">
        <v>5</v>
      </c>
      <c r="N69" s="1">
        <v>2</v>
      </c>
      <c r="O69" s="1">
        <v>2</v>
      </c>
      <c r="P69" s="1">
        <v>4</v>
      </c>
      <c r="Q69" s="1">
        <v>5</v>
      </c>
      <c r="R69" s="1">
        <v>5</v>
      </c>
      <c r="S69" s="1">
        <v>6</v>
      </c>
      <c r="T69" s="1">
        <v>4</v>
      </c>
      <c r="U69" s="1">
        <v>4</v>
      </c>
      <c r="V69" s="1">
        <v>2</v>
      </c>
      <c r="W69" s="1">
        <v>5</v>
      </c>
      <c r="X69" s="1">
        <f t="shared" si="4"/>
        <v>3.9</v>
      </c>
      <c r="Y69" s="1">
        <f t="shared" si="5"/>
        <v>4.9</v>
      </c>
      <c r="Z69" s="2" t="s">
        <v>25</v>
      </c>
      <c r="AA69">
        <f t="shared" si="6"/>
        <v>1</v>
      </c>
    </row>
    <row r="70" spans="1:27">
      <c r="A70" s="1">
        <v>69</v>
      </c>
      <c r="C70" s="1">
        <v>5</v>
      </c>
      <c r="D70" s="1">
        <v>4</v>
      </c>
      <c r="E70" s="1">
        <v>5</v>
      </c>
      <c r="F70" s="1">
        <v>5</v>
      </c>
      <c r="G70" s="1">
        <v>5</v>
      </c>
      <c r="H70" s="1">
        <v>5</v>
      </c>
      <c r="I70" s="1">
        <v>5</v>
      </c>
      <c r="J70" s="1">
        <v>5</v>
      </c>
      <c r="K70" s="1">
        <v>7</v>
      </c>
      <c r="L70" s="1">
        <v>5</v>
      </c>
      <c r="N70" s="1">
        <v>7</v>
      </c>
      <c r="O70" s="1">
        <v>4</v>
      </c>
      <c r="P70" s="1">
        <v>5</v>
      </c>
      <c r="Q70" s="1">
        <v>4</v>
      </c>
      <c r="R70" s="1">
        <v>7</v>
      </c>
      <c r="S70" s="1">
        <v>5</v>
      </c>
      <c r="T70" s="1">
        <v>5</v>
      </c>
      <c r="U70" s="1">
        <v>4</v>
      </c>
      <c r="V70" s="1">
        <v>5</v>
      </c>
      <c r="W70" s="1">
        <v>7</v>
      </c>
      <c r="X70" s="1">
        <f t="shared" si="4"/>
        <v>5.3</v>
      </c>
      <c r="Y70" s="1">
        <f t="shared" si="5"/>
        <v>5.1</v>
      </c>
      <c r="Z70" s="2" t="s">
        <v>25</v>
      </c>
      <c r="AA70">
        <f t="shared" si="6"/>
        <v>-0.2</v>
      </c>
    </row>
    <row r="71" spans="1:27">
      <c r="A71" s="1">
        <v>70</v>
      </c>
      <c r="C71" s="1">
        <v>6</v>
      </c>
      <c r="D71" s="1">
        <v>5</v>
      </c>
      <c r="E71" s="1">
        <v>4</v>
      </c>
      <c r="F71" s="1">
        <v>2</v>
      </c>
      <c r="G71" s="1">
        <v>7</v>
      </c>
      <c r="H71" s="1">
        <v>6</v>
      </c>
      <c r="I71" s="1">
        <v>7</v>
      </c>
      <c r="J71" s="1">
        <v>6</v>
      </c>
      <c r="K71" s="1">
        <v>7</v>
      </c>
      <c r="L71" s="1">
        <v>7</v>
      </c>
      <c r="N71" s="1">
        <v>3</v>
      </c>
      <c r="O71" s="1">
        <v>4</v>
      </c>
      <c r="P71" s="1">
        <v>4</v>
      </c>
      <c r="Q71" s="1">
        <v>4</v>
      </c>
      <c r="R71" s="1">
        <v>5</v>
      </c>
      <c r="S71" s="1">
        <v>6</v>
      </c>
      <c r="T71" s="1">
        <v>5</v>
      </c>
      <c r="U71" s="1">
        <v>6</v>
      </c>
      <c r="V71" s="1">
        <v>2</v>
      </c>
      <c r="W71" s="1">
        <v>4</v>
      </c>
      <c r="X71" s="1">
        <f t="shared" si="4"/>
        <v>4.3</v>
      </c>
      <c r="Y71" s="1">
        <f t="shared" si="5"/>
        <v>5.7</v>
      </c>
      <c r="Z71" s="2" t="s">
        <v>25</v>
      </c>
      <c r="AA71">
        <f t="shared" si="6"/>
        <v>1.4</v>
      </c>
    </row>
    <row r="72" spans="1:27">
      <c r="A72" s="1">
        <v>71</v>
      </c>
      <c r="C72" s="1">
        <v>7</v>
      </c>
      <c r="D72" s="1">
        <v>1</v>
      </c>
      <c r="E72" s="1">
        <v>7</v>
      </c>
      <c r="F72" s="1">
        <v>1</v>
      </c>
      <c r="G72" s="1">
        <v>4</v>
      </c>
      <c r="H72" s="1">
        <v>4</v>
      </c>
      <c r="I72" s="1">
        <v>1</v>
      </c>
      <c r="J72" s="1">
        <v>1</v>
      </c>
      <c r="K72" s="1">
        <v>1</v>
      </c>
      <c r="L72" s="1">
        <v>7</v>
      </c>
      <c r="N72" s="1">
        <v>3</v>
      </c>
      <c r="O72" s="1">
        <v>7</v>
      </c>
      <c r="P72" s="1">
        <v>4</v>
      </c>
      <c r="Q72" s="1">
        <v>4</v>
      </c>
      <c r="R72" s="1">
        <v>4</v>
      </c>
      <c r="S72" s="1">
        <v>7</v>
      </c>
      <c r="T72" s="1">
        <v>7</v>
      </c>
      <c r="U72" s="1">
        <v>7</v>
      </c>
      <c r="V72" s="1">
        <v>7</v>
      </c>
      <c r="W72" s="1">
        <v>7</v>
      </c>
      <c r="X72" s="1">
        <f t="shared" si="4"/>
        <v>5.7</v>
      </c>
      <c r="Y72" s="1">
        <f t="shared" si="5"/>
        <v>3.4</v>
      </c>
      <c r="Z72" s="2" t="s">
        <v>25</v>
      </c>
      <c r="AA72">
        <f t="shared" si="6"/>
        <v>-2.3</v>
      </c>
    </row>
    <row r="73" spans="1:27">
      <c r="A73" s="1">
        <v>72</v>
      </c>
      <c r="C73" s="1">
        <v>7</v>
      </c>
      <c r="D73" s="1">
        <v>4</v>
      </c>
      <c r="E73" s="1">
        <v>5</v>
      </c>
      <c r="F73" s="1">
        <v>1</v>
      </c>
      <c r="G73" s="1">
        <v>7</v>
      </c>
      <c r="H73" s="1">
        <v>5</v>
      </c>
      <c r="I73" s="1">
        <v>7</v>
      </c>
      <c r="J73" s="1">
        <v>1</v>
      </c>
      <c r="K73" s="1">
        <v>7</v>
      </c>
      <c r="L73" s="1">
        <v>5</v>
      </c>
      <c r="N73" s="1">
        <v>4</v>
      </c>
      <c r="O73" s="1">
        <v>4</v>
      </c>
      <c r="P73" s="1">
        <v>4</v>
      </c>
      <c r="Q73" s="1">
        <v>7</v>
      </c>
      <c r="R73" s="1">
        <v>5</v>
      </c>
      <c r="S73" s="1">
        <v>5</v>
      </c>
      <c r="T73" s="1">
        <v>5</v>
      </c>
      <c r="U73" s="1">
        <v>5</v>
      </c>
      <c r="V73" s="1">
        <v>1</v>
      </c>
      <c r="W73" s="1">
        <v>4</v>
      </c>
      <c r="X73" s="1">
        <f t="shared" si="4"/>
        <v>4.4</v>
      </c>
      <c r="Y73" s="1">
        <f t="shared" si="5"/>
        <v>4.9</v>
      </c>
      <c r="Z73" s="2" t="s">
        <v>25</v>
      </c>
      <c r="AA73">
        <f t="shared" si="6"/>
        <v>0.5</v>
      </c>
    </row>
    <row r="74" spans="1:27">
      <c r="A74" s="1">
        <v>73</v>
      </c>
      <c r="C74" s="1">
        <v>7</v>
      </c>
      <c r="D74" s="1">
        <v>6</v>
      </c>
      <c r="E74" s="1">
        <v>5</v>
      </c>
      <c r="F74" s="1">
        <v>2</v>
      </c>
      <c r="G74" s="1">
        <v>7</v>
      </c>
      <c r="H74" s="1">
        <v>7</v>
      </c>
      <c r="I74" s="1">
        <v>7</v>
      </c>
      <c r="J74" s="1">
        <v>6</v>
      </c>
      <c r="K74" s="1">
        <v>7</v>
      </c>
      <c r="L74" s="1">
        <v>7</v>
      </c>
      <c r="N74" s="1">
        <v>6</v>
      </c>
      <c r="O74" s="1">
        <v>4</v>
      </c>
      <c r="P74" s="1">
        <v>7</v>
      </c>
      <c r="Q74" s="1">
        <v>6</v>
      </c>
      <c r="R74" s="1">
        <v>5</v>
      </c>
      <c r="S74" s="1">
        <v>1</v>
      </c>
      <c r="T74" s="1">
        <v>7</v>
      </c>
      <c r="U74" s="1">
        <v>7</v>
      </c>
      <c r="V74" s="1">
        <v>6</v>
      </c>
      <c r="W74" s="1">
        <v>6</v>
      </c>
      <c r="X74" s="1">
        <f t="shared" si="4"/>
        <v>5.5</v>
      </c>
      <c r="Y74" s="1">
        <f t="shared" si="5"/>
        <v>6.1</v>
      </c>
      <c r="Z74" s="2" t="s">
        <v>25</v>
      </c>
      <c r="AA74">
        <f t="shared" si="6"/>
        <v>0.6</v>
      </c>
    </row>
    <row r="75" spans="1:27">
      <c r="A75" s="1">
        <v>74</v>
      </c>
      <c r="C75" s="1">
        <v>6</v>
      </c>
      <c r="D75" s="1">
        <v>6</v>
      </c>
      <c r="E75" s="1">
        <v>7</v>
      </c>
      <c r="F75" s="1">
        <v>1</v>
      </c>
      <c r="G75" s="1">
        <v>6</v>
      </c>
      <c r="H75" s="1">
        <v>7</v>
      </c>
      <c r="I75" s="1">
        <v>7</v>
      </c>
      <c r="J75" s="1">
        <v>6</v>
      </c>
      <c r="K75" s="1">
        <v>7</v>
      </c>
      <c r="L75" s="1">
        <v>5</v>
      </c>
      <c r="N75" s="1">
        <v>5</v>
      </c>
      <c r="O75" s="1">
        <v>6</v>
      </c>
      <c r="P75" s="1">
        <v>7</v>
      </c>
      <c r="Q75" s="1">
        <v>6</v>
      </c>
      <c r="R75" s="1">
        <v>6</v>
      </c>
      <c r="S75" s="1">
        <v>5</v>
      </c>
      <c r="T75" s="1">
        <v>7</v>
      </c>
      <c r="U75" s="1">
        <v>6</v>
      </c>
      <c r="V75" s="1">
        <v>5</v>
      </c>
      <c r="W75" s="1">
        <v>7</v>
      </c>
      <c r="X75" s="1">
        <f t="shared" si="4"/>
        <v>6</v>
      </c>
      <c r="Y75" s="1">
        <f t="shared" si="5"/>
        <v>5.8</v>
      </c>
      <c r="Z75" s="2" t="s">
        <v>25</v>
      </c>
      <c r="AA75">
        <f t="shared" si="6"/>
        <v>-0.2</v>
      </c>
    </row>
    <row r="76" spans="1:27">
      <c r="A76" s="1">
        <v>75</v>
      </c>
      <c r="C76" s="1">
        <v>5</v>
      </c>
      <c r="D76" s="1">
        <v>7</v>
      </c>
      <c r="E76" s="1">
        <v>6</v>
      </c>
      <c r="F76" s="1">
        <v>5</v>
      </c>
      <c r="G76" s="1">
        <v>6</v>
      </c>
      <c r="H76" s="1">
        <v>6</v>
      </c>
      <c r="I76" s="1">
        <v>6</v>
      </c>
      <c r="J76" s="1">
        <v>6</v>
      </c>
      <c r="K76" s="1">
        <v>7</v>
      </c>
      <c r="L76" s="1">
        <v>7</v>
      </c>
      <c r="N76" s="1">
        <v>7</v>
      </c>
      <c r="O76" s="1">
        <v>5</v>
      </c>
      <c r="P76" s="1">
        <v>6</v>
      </c>
      <c r="Q76" s="1">
        <v>5</v>
      </c>
      <c r="R76" s="1">
        <v>4</v>
      </c>
      <c r="S76" s="1">
        <v>6</v>
      </c>
      <c r="T76" s="1">
        <v>7</v>
      </c>
      <c r="U76" s="1">
        <v>6</v>
      </c>
      <c r="V76" s="1">
        <v>6</v>
      </c>
      <c r="W76" s="1">
        <v>4</v>
      </c>
      <c r="X76" s="1">
        <f t="shared" si="4"/>
        <v>5.6</v>
      </c>
      <c r="Y76" s="1">
        <f t="shared" si="5"/>
        <v>6.1</v>
      </c>
      <c r="Z76" s="2" t="s">
        <v>25</v>
      </c>
      <c r="AA76">
        <f t="shared" si="6"/>
        <v>0.5</v>
      </c>
    </row>
    <row r="77" spans="1:27">
      <c r="A77" s="1">
        <v>76</v>
      </c>
      <c r="C77" s="1">
        <v>5</v>
      </c>
      <c r="D77" s="1">
        <v>4</v>
      </c>
      <c r="E77" s="1">
        <v>2</v>
      </c>
      <c r="F77" s="1">
        <v>2</v>
      </c>
      <c r="G77" s="1">
        <v>5</v>
      </c>
      <c r="H77" s="1">
        <v>5</v>
      </c>
      <c r="I77" s="1">
        <v>3</v>
      </c>
      <c r="J77" s="1">
        <v>2</v>
      </c>
      <c r="K77" s="1">
        <v>5</v>
      </c>
      <c r="L77" s="1">
        <v>3</v>
      </c>
      <c r="N77" s="1">
        <v>5</v>
      </c>
      <c r="O77" s="1">
        <v>2</v>
      </c>
      <c r="P77" s="1">
        <v>5</v>
      </c>
      <c r="Q77" s="1">
        <v>3</v>
      </c>
      <c r="R77" s="1">
        <v>5</v>
      </c>
      <c r="S77" s="1">
        <v>4</v>
      </c>
      <c r="T77" s="1">
        <v>4</v>
      </c>
      <c r="U77" s="1">
        <v>5</v>
      </c>
      <c r="V77" s="1">
        <v>4</v>
      </c>
      <c r="W77" s="1">
        <v>3</v>
      </c>
      <c r="X77" s="1">
        <f t="shared" si="4"/>
        <v>4</v>
      </c>
      <c r="Y77" s="1">
        <f t="shared" si="5"/>
        <v>3.6</v>
      </c>
      <c r="Z77" s="2" t="s">
        <v>25</v>
      </c>
      <c r="AA77">
        <f t="shared" si="6"/>
        <v>-0.4</v>
      </c>
    </row>
    <row r="78" spans="1:27">
      <c r="A78" s="1">
        <v>77</v>
      </c>
      <c r="C78" s="1">
        <v>7</v>
      </c>
      <c r="D78" s="1">
        <v>7</v>
      </c>
      <c r="E78" s="1">
        <v>7</v>
      </c>
      <c r="F78" s="1">
        <v>7</v>
      </c>
      <c r="G78" s="1">
        <v>6</v>
      </c>
      <c r="H78" s="1">
        <v>7</v>
      </c>
      <c r="I78" s="1">
        <v>4</v>
      </c>
      <c r="J78" s="1">
        <v>7</v>
      </c>
      <c r="K78" s="1">
        <v>7</v>
      </c>
      <c r="L78" s="1">
        <v>7</v>
      </c>
      <c r="N78" s="1">
        <v>6</v>
      </c>
      <c r="O78" s="1">
        <v>5</v>
      </c>
      <c r="P78" s="1">
        <v>7</v>
      </c>
      <c r="Q78" s="1">
        <v>4</v>
      </c>
      <c r="R78" s="1">
        <v>5</v>
      </c>
      <c r="S78" s="1">
        <v>5</v>
      </c>
      <c r="T78" s="1">
        <v>5</v>
      </c>
      <c r="U78" s="1">
        <v>7</v>
      </c>
      <c r="V78" s="1">
        <v>4</v>
      </c>
      <c r="W78" s="1">
        <v>7</v>
      </c>
      <c r="X78" s="1">
        <f t="shared" si="4"/>
        <v>5.5</v>
      </c>
      <c r="Y78" s="1">
        <f t="shared" si="5"/>
        <v>6.6</v>
      </c>
      <c r="Z78" s="2" t="s">
        <v>25</v>
      </c>
      <c r="AA78">
        <f t="shared" si="6"/>
        <v>1.1</v>
      </c>
    </row>
    <row r="79" spans="1:27">
      <c r="A79" s="1">
        <v>78</v>
      </c>
      <c r="C79" s="1">
        <v>7</v>
      </c>
      <c r="D79" s="1">
        <v>4</v>
      </c>
      <c r="E79" s="1">
        <v>6</v>
      </c>
      <c r="F79" s="1">
        <v>1</v>
      </c>
      <c r="G79" s="1">
        <v>7</v>
      </c>
      <c r="H79" s="1">
        <v>7</v>
      </c>
      <c r="I79" s="1">
        <v>6</v>
      </c>
      <c r="J79" s="1">
        <v>6</v>
      </c>
      <c r="K79" s="1">
        <v>7</v>
      </c>
      <c r="L79" s="1">
        <v>1</v>
      </c>
      <c r="N79" s="1">
        <v>4</v>
      </c>
      <c r="O79" s="1">
        <v>1</v>
      </c>
      <c r="P79" s="1">
        <v>3</v>
      </c>
      <c r="Q79" s="1">
        <v>1</v>
      </c>
      <c r="R79" s="1">
        <v>6</v>
      </c>
      <c r="S79" s="1">
        <v>5</v>
      </c>
      <c r="T79" s="1">
        <v>4</v>
      </c>
      <c r="U79" s="1">
        <v>7</v>
      </c>
      <c r="V79" s="1">
        <v>1</v>
      </c>
      <c r="W79" s="1">
        <v>7</v>
      </c>
      <c r="X79" s="1">
        <f t="shared" si="4"/>
        <v>3.9</v>
      </c>
      <c r="Y79" s="1">
        <f t="shared" si="5"/>
        <v>5.2</v>
      </c>
      <c r="Z79" s="2" t="s">
        <v>25</v>
      </c>
      <c r="AA79">
        <f t="shared" si="6"/>
        <v>1.3</v>
      </c>
    </row>
    <row r="80" spans="1:27">
      <c r="A80" s="1">
        <v>79</v>
      </c>
      <c r="C80" s="1">
        <v>6</v>
      </c>
      <c r="D80" s="1">
        <v>3</v>
      </c>
      <c r="E80" s="1">
        <v>6</v>
      </c>
      <c r="F80" s="1">
        <v>2</v>
      </c>
      <c r="G80" s="1">
        <v>6</v>
      </c>
      <c r="H80" s="1">
        <v>6</v>
      </c>
      <c r="I80" s="1">
        <v>6</v>
      </c>
      <c r="J80" s="1">
        <v>4</v>
      </c>
      <c r="K80" s="1">
        <v>6</v>
      </c>
      <c r="L80" s="1">
        <v>6</v>
      </c>
      <c r="N80" s="1">
        <v>6</v>
      </c>
      <c r="O80" s="1">
        <v>3</v>
      </c>
      <c r="P80" s="1">
        <v>6</v>
      </c>
      <c r="Q80" s="1">
        <v>6</v>
      </c>
      <c r="R80" s="1">
        <v>3</v>
      </c>
      <c r="S80" s="1">
        <v>6</v>
      </c>
      <c r="T80" s="1">
        <v>6</v>
      </c>
      <c r="U80" s="1">
        <v>6</v>
      </c>
      <c r="V80" s="1">
        <v>5</v>
      </c>
      <c r="W80" s="1">
        <v>6</v>
      </c>
      <c r="X80" s="1">
        <f t="shared" si="4"/>
        <v>5.3</v>
      </c>
      <c r="Y80" s="1">
        <f t="shared" si="5"/>
        <v>5.1</v>
      </c>
      <c r="Z80" s="2" t="s">
        <v>25</v>
      </c>
      <c r="AA80">
        <f t="shared" si="6"/>
        <v>-0.2</v>
      </c>
    </row>
    <row r="81" spans="1:27">
      <c r="A81" s="1">
        <v>80</v>
      </c>
      <c r="C81" s="1">
        <v>7</v>
      </c>
      <c r="D81" s="1">
        <v>4</v>
      </c>
      <c r="E81" s="1">
        <v>5</v>
      </c>
      <c r="F81" s="1">
        <v>1</v>
      </c>
      <c r="G81" s="1">
        <v>7</v>
      </c>
      <c r="H81" s="1">
        <v>7</v>
      </c>
      <c r="I81" s="1">
        <v>5</v>
      </c>
      <c r="J81" s="1">
        <v>5</v>
      </c>
      <c r="K81" s="1">
        <v>6</v>
      </c>
      <c r="L81" s="1">
        <v>3</v>
      </c>
      <c r="N81" s="1">
        <v>4</v>
      </c>
      <c r="O81" s="1">
        <v>4</v>
      </c>
      <c r="P81" s="1">
        <v>5</v>
      </c>
      <c r="Q81" s="1">
        <v>6</v>
      </c>
      <c r="R81" s="1">
        <v>6</v>
      </c>
      <c r="S81" s="1">
        <v>6</v>
      </c>
      <c r="T81" s="1">
        <v>7</v>
      </c>
      <c r="U81" s="1">
        <v>6</v>
      </c>
      <c r="V81" s="1">
        <v>6</v>
      </c>
      <c r="W81" s="1">
        <v>7</v>
      </c>
      <c r="X81" s="1">
        <f t="shared" si="4"/>
        <v>5.7</v>
      </c>
      <c r="Y81" s="1">
        <f t="shared" si="5"/>
        <v>5</v>
      </c>
      <c r="Z81" s="2" t="s">
        <v>25</v>
      </c>
      <c r="AA81">
        <f t="shared" si="6"/>
        <v>-0.7</v>
      </c>
    </row>
    <row r="82" spans="1:27">
      <c r="A82" s="1">
        <v>81</v>
      </c>
      <c r="C82" s="1">
        <v>7</v>
      </c>
      <c r="D82" s="1">
        <v>7</v>
      </c>
      <c r="E82" s="1">
        <v>4</v>
      </c>
      <c r="F82" s="1">
        <v>6</v>
      </c>
      <c r="G82" s="1">
        <v>7</v>
      </c>
      <c r="H82" s="1">
        <v>7</v>
      </c>
      <c r="I82" s="1">
        <v>6</v>
      </c>
      <c r="J82" s="1">
        <v>6</v>
      </c>
      <c r="K82" s="1">
        <v>7</v>
      </c>
      <c r="L82" s="1">
        <v>6</v>
      </c>
      <c r="N82" s="1">
        <v>6</v>
      </c>
      <c r="O82" s="1">
        <v>6</v>
      </c>
      <c r="P82" s="1">
        <v>7</v>
      </c>
      <c r="Q82" s="1">
        <v>6</v>
      </c>
      <c r="R82" s="1">
        <v>6</v>
      </c>
      <c r="S82" s="1">
        <v>5</v>
      </c>
      <c r="T82" s="1">
        <v>7</v>
      </c>
      <c r="U82" s="1">
        <v>6</v>
      </c>
      <c r="V82" s="1">
        <v>5</v>
      </c>
      <c r="W82" s="1">
        <v>7</v>
      </c>
      <c r="X82" s="1">
        <f t="shared" si="4"/>
        <v>6.1</v>
      </c>
      <c r="Y82" s="1">
        <f t="shared" si="5"/>
        <v>6.3</v>
      </c>
      <c r="Z82" s="2" t="s">
        <v>25</v>
      </c>
      <c r="AA82">
        <f t="shared" si="6"/>
        <v>0.2</v>
      </c>
    </row>
    <row r="83" spans="1:27">
      <c r="A83" s="1">
        <v>82</v>
      </c>
      <c r="C83" s="1">
        <v>6</v>
      </c>
      <c r="D83" s="1">
        <v>3</v>
      </c>
      <c r="E83" s="1">
        <v>5</v>
      </c>
      <c r="F83" s="1">
        <v>2</v>
      </c>
      <c r="G83" s="1">
        <v>7</v>
      </c>
      <c r="H83" s="1">
        <v>5</v>
      </c>
      <c r="I83" s="1">
        <v>6</v>
      </c>
      <c r="J83" s="1">
        <v>5</v>
      </c>
      <c r="K83" s="1">
        <v>5</v>
      </c>
      <c r="L83" s="1">
        <v>3</v>
      </c>
      <c r="N83" s="1">
        <v>2</v>
      </c>
      <c r="O83" s="1">
        <v>5</v>
      </c>
      <c r="P83" s="1">
        <v>5</v>
      </c>
      <c r="Q83" s="1">
        <v>4</v>
      </c>
      <c r="R83" s="1">
        <v>5</v>
      </c>
      <c r="S83" s="1">
        <v>5</v>
      </c>
      <c r="T83" s="1">
        <v>5</v>
      </c>
      <c r="U83" s="1">
        <v>5</v>
      </c>
      <c r="V83" s="1">
        <v>4</v>
      </c>
      <c r="W83" s="1">
        <v>5</v>
      </c>
      <c r="X83" s="1">
        <f t="shared" si="4"/>
        <v>4.5</v>
      </c>
      <c r="Y83" s="1">
        <f t="shared" si="5"/>
        <v>4.7</v>
      </c>
      <c r="Z83" s="2" t="s">
        <v>25</v>
      </c>
      <c r="AA83">
        <f t="shared" si="6"/>
        <v>0.2</v>
      </c>
    </row>
    <row r="84" spans="1:27">
      <c r="A84" s="1">
        <v>83</v>
      </c>
      <c r="C84" s="1">
        <v>5</v>
      </c>
      <c r="D84" s="1">
        <v>5</v>
      </c>
      <c r="E84" s="1">
        <v>4</v>
      </c>
      <c r="F84" s="1">
        <v>4</v>
      </c>
      <c r="G84" s="1">
        <v>5</v>
      </c>
      <c r="H84" s="1">
        <v>5</v>
      </c>
      <c r="I84" s="1">
        <v>5</v>
      </c>
      <c r="J84" s="1">
        <v>4</v>
      </c>
      <c r="K84" s="1">
        <v>5</v>
      </c>
      <c r="L84" s="1">
        <v>4</v>
      </c>
      <c r="N84" s="1">
        <v>2</v>
      </c>
      <c r="O84" s="1">
        <v>4</v>
      </c>
      <c r="P84" s="1">
        <v>2</v>
      </c>
      <c r="Q84" s="1">
        <v>4</v>
      </c>
      <c r="R84" s="1">
        <v>5</v>
      </c>
      <c r="S84" s="1">
        <v>2</v>
      </c>
      <c r="T84" s="1">
        <v>3</v>
      </c>
      <c r="U84" s="1">
        <v>4</v>
      </c>
      <c r="V84" s="1">
        <v>4</v>
      </c>
      <c r="W84" s="1">
        <v>5</v>
      </c>
      <c r="X84" s="1">
        <f t="shared" si="4"/>
        <v>3.5</v>
      </c>
      <c r="Y84" s="1">
        <f t="shared" si="5"/>
        <v>4.6</v>
      </c>
      <c r="Z84" s="2" t="s">
        <v>25</v>
      </c>
      <c r="AA84">
        <f t="shared" si="6"/>
        <v>1.1</v>
      </c>
    </row>
    <row r="85" spans="1:27">
      <c r="A85" s="1">
        <v>84</v>
      </c>
      <c r="C85" s="1">
        <v>5</v>
      </c>
      <c r="D85" s="1">
        <v>7</v>
      </c>
      <c r="E85" s="1">
        <v>3</v>
      </c>
      <c r="F85" s="1">
        <v>2</v>
      </c>
      <c r="G85" s="1">
        <v>1</v>
      </c>
      <c r="H85" s="1">
        <v>7</v>
      </c>
      <c r="I85" s="1">
        <v>5</v>
      </c>
      <c r="J85" s="1">
        <v>7</v>
      </c>
      <c r="K85" s="1">
        <v>6</v>
      </c>
      <c r="L85" s="1">
        <v>7</v>
      </c>
      <c r="N85" s="1">
        <v>2</v>
      </c>
      <c r="O85" s="1">
        <v>2</v>
      </c>
      <c r="P85" s="1">
        <v>7</v>
      </c>
      <c r="Q85" s="1">
        <v>3</v>
      </c>
      <c r="R85" s="1">
        <v>5</v>
      </c>
      <c r="S85" s="1">
        <v>7</v>
      </c>
      <c r="T85" s="1">
        <v>3</v>
      </c>
      <c r="U85" s="1">
        <v>3</v>
      </c>
      <c r="V85" s="1">
        <v>2</v>
      </c>
      <c r="W85" s="1">
        <v>4</v>
      </c>
      <c r="X85" s="1">
        <f t="shared" si="4"/>
        <v>3.8</v>
      </c>
      <c r="Y85" s="1">
        <f t="shared" si="5"/>
        <v>5</v>
      </c>
      <c r="Z85" s="2" t="s">
        <v>25</v>
      </c>
      <c r="AA85">
        <f t="shared" si="6"/>
        <v>1.2</v>
      </c>
    </row>
    <row r="86" spans="1:27">
      <c r="A86" s="1">
        <v>85</v>
      </c>
      <c r="C86" s="1">
        <v>4</v>
      </c>
      <c r="D86" s="1">
        <v>2</v>
      </c>
      <c r="E86" s="1">
        <v>4</v>
      </c>
      <c r="F86" s="1">
        <v>3</v>
      </c>
      <c r="G86" s="1">
        <v>2</v>
      </c>
      <c r="H86" s="1">
        <v>2</v>
      </c>
      <c r="I86" s="1">
        <v>5</v>
      </c>
      <c r="J86" s="1">
        <v>3</v>
      </c>
      <c r="K86" s="1">
        <v>3</v>
      </c>
      <c r="L86" s="1">
        <v>3</v>
      </c>
      <c r="N86" s="1">
        <v>3</v>
      </c>
      <c r="O86" s="1">
        <v>2</v>
      </c>
      <c r="P86" s="1">
        <v>4</v>
      </c>
      <c r="Q86" s="1">
        <v>3</v>
      </c>
      <c r="R86" s="1">
        <v>2</v>
      </c>
      <c r="S86" s="1">
        <v>2</v>
      </c>
      <c r="T86" s="1">
        <v>1</v>
      </c>
      <c r="U86" s="1">
        <v>4</v>
      </c>
      <c r="V86" s="1">
        <v>5</v>
      </c>
      <c r="W86" s="1">
        <v>1</v>
      </c>
      <c r="X86" s="1">
        <f t="shared" si="4"/>
        <v>2.7</v>
      </c>
      <c r="Y86" s="1">
        <f t="shared" si="5"/>
        <v>3.1</v>
      </c>
      <c r="Z86" s="2" t="s">
        <v>25</v>
      </c>
      <c r="AA86">
        <f t="shared" si="6"/>
        <v>0.4</v>
      </c>
    </row>
    <row r="87" spans="1:27">
      <c r="A87" s="1">
        <v>86</v>
      </c>
      <c r="C87" s="1">
        <v>7</v>
      </c>
      <c r="D87" s="1">
        <v>3</v>
      </c>
      <c r="E87" s="1">
        <v>5</v>
      </c>
      <c r="F87" s="1">
        <v>1</v>
      </c>
      <c r="G87" s="1">
        <v>6</v>
      </c>
      <c r="H87" s="1">
        <v>7</v>
      </c>
      <c r="I87" s="1">
        <v>4</v>
      </c>
      <c r="J87" s="1">
        <v>4</v>
      </c>
      <c r="K87" s="1">
        <v>7</v>
      </c>
      <c r="L87" s="1">
        <v>5</v>
      </c>
      <c r="N87" s="1">
        <v>4</v>
      </c>
      <c r="O87" s="1">
        <v>2</v>
      </c>
      <c r="P87" s="1">
        <v>4</v>
      </c>
      <c r="Q87" s="1">
        <v>5</v>
      </c>
      <c r="R87" s="1">
        <v>6</v>
      </c>
      <c r="S87" s="1">
        <v>5</v>
      </c>
      <c r="T87" s="1">
        <v>6</v>
      </c>
      <c r="U87" s="1">
        <v>6</v>
      </c>
      <c r="V87" s="1">
        <v>6</v>
      </c>
      <c r="W87" s="1">
        <v>6</v>
      </c>
      <c r="X87" s="1">
        <f t="shared" si="4"/>
        <v>5</v>
      </c>
      <c r="Y87" s="1">
        <f t="shared" si="5"/>
        <v>4.9</v>
      </c>
      <c r="Z87" s="2" t="s">
        <v>25</v>
      </c>
      <c r="AA87">
        <f t="shared" si="6"/>
        <v>-0.0999999999999996</v>
      </c>
    </row>
    <row r="88" spans="1:27">
      <c r="A88" s="1">
        <v>87</v>
      </c>
      <c r="C88" s="1">
        <v>6</v>
      </c>
      <c r="D88" s="1">
        <v>3</v>
      </c>
      <c r="E88" s="1">
        <v>3</v>
      </c>
      <c r="F88" s="1">
        <v>2</v>
      </c>
      <c r="G88" s="1">
        <v>3</v>
      </c>
      <c r="H88" s="1">
        <v>4</v>
      </c>
      <c r="I88" s="1">
        <v>7</v>
      </c>
      <c r="J88" s="1">
        <v>3</v>
      </c>
      <c r="K88" s="1">
        <v>2</v>
      </c>
      <c r="L88" s="1">
        <v>3</v>
      </c>
      <c r="N88" s="1">
        <v>3</v>
      </c>
      <c r="O88" s="1">
        <v>4</v>
      </c>
      <c r="P88" s="1">
        <v>1</v>
      </c>
      <c r="Q88" s="1">
        <v>4</v>
      </c>
      <c r="R88" s="1">
        <v>3</v>
      </c>
      <c r="S88" s="1">
        <v>7</v>
      </c>
      <c r="T88" s="1">
        <v>6</v>
      </c>
      <c r="U88" s="1">
        <v>6</v>
      </c>
      <c r="V88" s="1">
        <v>2</v>
      </c>
      <c r="W88" s="1">
        <v>6</v>
      </c>
      <c r="X88" s="1">
        <f t="shared" si="4"/>
        <v>4.2</v>
      </c>
      <c r="Y88" s="1">
        <f t="shared" si="5"/>
        <v>3.6</v>
      </c>
      <c r="Z88" s="2" t="s">
        <v>32</v>
      </c>
      <c r="AA88">
        <f t="shared" si="6"/>
        <v>-0.6</v>
      </c>
    </row>
    <row r="89" spans="1:27">
      <c r="A89" s="1">
        <v>88</v>
      </c>
      <c r="C89" s="1">
        <v>4</v>
      </c>
      <c r="D89" s="1">
        <v>4</v>
      </c>
      <c r="E89" s="1">
        <v>5</v>
      </c>
      <c r="F89" s="1">
        <v>4</v>
      </c>
      <c r="G89" s="1">
        <v>3</v>
      </c>
      <c r="H89" s="1">
        <v>4</v>
      </c>
      <c r="I89" s="1">
        <v>4</v>
      </c>
      <c r="J89" s="1">
        <v>2</v>
      </c>
      <c r="K89" s="1">
        <v>7</v>
      </c>
      <c r="L89" s="1">
        <v>5</v>
      </c>
      <c r="N89" s="1">
        <v>2</v>
      </c>
      <c r="O89" s="1">
        <v>2</v>
      </c>
      <c r="P89" s="1">
        <v>3</v>
      </c>
      <c r="Q89" s="1">
        <v>5</v>
      </c>
      <c r="R89" s="1">
        <v>1</v>
      </c>
      <c r="S89" s="1">
        <v>7</v>
      </c>
      <c r="T89" s="1">
        <v>3</v>
      </c>
      <c r="U89" s="1">
        <v>4</v>
      </c>
      <c r="V89" s="1">
        <v>2</v>
      </c>
      <c r="W89" s="1">
        <v>4</v>
      </c>
      <c r="X89" s="1">
        <f t="shared" si="4"/>
        <v>3.3</v>
      </c>
      <c r="Y89" s="1">
        <f t="shared" si="5"/>
        <v>4.2</v>
      </c>
      <c r="Z89" s="2" t="s">
        <v>32</v>
      </c>
      <c r="AA89">
        <f t="shared" si="6"/>
        <v>0.9</v>
      </c>
    </row>
    <row r="90" spans="1:27">
      <c r="A90" s="1">
        <v>89</v>
      </c>
      <c r="C90" s="1">
        <v>5</v>
      </c>
      <c r="D90" s="1">
        <v>5</v>
      </c>
      <c r="E90" s="1">
        <v>4</v>
      </c>
      <c r="F90" s="1">
        <v>4</v>
      </c>
      <c r="G90" s="1">
        <v>4</v>
      </c>
      <c r="H90" s="1">
        <v>4</v>
      </c>
      <c r="I90" s="1">
        <v>5</v>
      </c>
      <c r="J90" s="1">
        <v>5</v>
      </c>
      <c r="K90" s="1">
        <v>5</v>
      </c>
      <c r="L90" s="1">
        <v>5</v>
      </c>
      <c r="N90" s="1">
        <v>4</v>
      </c>
      <c r="O90" s="1">
        <v>4</v>
      </c>
      <c r="P90" s="1">
        <v>5</v>
      </c>
      <c r="Q90" s="1">
        <v>5</v>
      </c>
      <c r="R90" s="1">
        <v>4</v>
      </c>
      <c r="S90" s="1">
        <v>3</v>
      </c>
      <c r="T90" s="1">
        <v>5</v>
      </c>
      <c r="U90" s="1">
        <v>4</v>
      </c>
      <c r="V90" s="1">
        <v>4</v>
      </c>
      <c r="W90" s="1">
        <v>4</v>
      </c>
      <c r="X90" s="1">
        <f t="shared" si="4"/>
        <v>4.2</v>
      </c>
      <c r="Y90" s="1">
        <f t="shared" si="5"/>
        <v>4.6</v>
      </c>
      <c r="Z90" s="2" t="s">
        <v>25</v>
      </c>
      <c r="AA90">
        <f t="shared" si="6"/>
        <v>0.399999999999999</v>
      </c>
    </row>
    <row r="91" spans="1:27">
      <c r="A91" s="1">
        <v>90</v>
      </c>
      <c r="C91" s="1">
        <v>7</v>
      </c>
      <c r="D91" s="1">
        <v>3</v>
      </c>
      <c r="E91" s="1">
        <v>4</v>
      </c>
      <c r="F91" s="1">
        <v>4</v>
      </c>
      <c r="G91" s="1">
        <v>6</v>
      </c>
      <c r="H91" s="1">
        <v>4</v>
      </c>
      <c r="I91" s="1">
        <v>3</v>
      </c>
      <c r="J91" s="1">
        <v>1</v>
      </c>
      <c r="K91" s="1">
        <v>1</v>
      </c>
      <c r="L91" s="1">
        <v>4</v>
      </c>
      <c r="N91" s="1">
        <v>3</v>
      </c>
      <c r="O91" s="1">
        <v>3</v>
      </c>
      <c r="P91" s="1">
        <v>5</v>
      </c>
      <c r="Q91" s="1">
        <v>4</v>
      </c>
      <c r="R91" s="1">
        <v>5</v>
      </c>
      <c r="S91" s="1">
        <v>4</v>
      </c>
      <c r="T91" s="1">
        <v>4</v>
      </c>
      <c r="U91" s="1">
        <v>5</v>
      </c>
      <c r="V91" s="1">
        <v>5</v>
      </c>
      <c r="W91" s="1">
        <v>6</v>
      </c>
      <c r="X91" s="1">
        <f t="shared" si="4"/>
        <v>4.4</v>
      </c>
      <c r="Y91" s="1">
        <f t="shared" si="5"/>
        <v>3.7</v>
      </c>
      <c r="Z91" s="2" t="s">
        <v>32</v>
      </c>
      <c r="AA91">
        <f t="shared" si="6"/>
        <v>-0.7</v>
      </c>
    </row>
    <row r="92" spans="1:27">
      <c r="A92" s="1">
        <v>91</v>
      </c>
      <c r="C92" s="1">
        <v>4</v>
      </c>
      <c r="D92" s="1">
        <v>4</v>
      </c>
      <c r="E92" s="1">
        <v>5</v>
      </c>
      <c r="F92" s="1">
        <v>3</v>
      </c>
      <c r="G92" s="1">
        <v>5</v>
      </c>
      <c r="H92" s="1">
        <v>4</v>
      </c>
      <c r="I92" s="1">
        <v>4</v>
      </c>
      <c r="J92" s="1">
        <v>4</v>
      </c>
      <c r="K92" s="1">
        <v>4</v>
      </c>
      <c r="L92" s="1">
        <v>6</v>
      </c>
      <c r="N92" s="1">
        <v>5</v>
      </c>
      <c r="O92" s="1">
        <v>4</v>
      </c>
      <c r="P92" s="1">
        <v>5</v>
      </c>
      <c r="Q92" s="1">
        <v>5</v>
      </c>
      <c r="R92" s="1">
        <v>3</v>
      </c>
      <c r="S92" s="1">
        <v>4</v>
      </c>
      <c r="T92" s="1">
        <v>5</v>
      </c>
      <c r="U92" s="1">
        <v>5</v>
      </c>
      <c r="V92" s="1">
        <v>5</v>
      </c>
      <c r="W92" s="1">
        <v>4</v>
      </c>
      <c r="X92" s="1">
        <f t="shared" si="4"/>
        <v>4.5</v>
      </c>
      <c r="Y92" s="1">
        <f t="shared" si="5"/>
        <v>4.3</v>
      </c>
      <c r="Z92" s="2" t="s">
        <v>25</v>
      </c>
      <c r="AA92">
        <f t="shared" si="6"/>
        <v>-0.2</v>
      </c>
    </row>
    <row r="93" spans="1:27">
      <c r="A93" s="1">
        <v>92</v>
      </c>
      <c r="C93" s="1">
        <v>4</v>
      </c>
      <c r="D93" s="1">
        <v>3</v>
      </c>
      <c r="E93" s="1">
        <v>2</v>
      </c>
      <c r="F93" s="1">
        <v>2</v>
      </c>
      <c r="G93" s="1">
        <v>2</v>
      </c>
      <c r="H93" s="1">
        <v>3</v>
      </c>
      <c r="I93" s="1">
        <v>2</v>
      </c>
      <c r="J93" s="1">
        <v>2</v>
      </c>
      <c r="K93" s="1">
        <v>2</v>
      </c>
      <c r="L93" s="1">
        <v>3</v>
      </c>
      <c r="N93" s="1">
        <v>5</v>
      </c>
      <c r="O93" s="1">
        <v>3</v>
      </c>
      <c r="P93" s="1">
        <v>2</v>
      </c>
      <c r="Q93" s="1">
        <v>5</v>
      </c>
      <c r="R93" s="1">
        <v>4</v>
      </c>
      <c r="S93" s="1">
        <v>3</v>
      </c>
      <c r="T93" s="1">
        <v>6</v>
      </c>
      <c r="U93" s="1">
        <v>4</v>
      </c>
      <c r="V93" s="1">
        <v>3</v>
      </c>
      <c r="W93" s="1">
        <v>2</v>
      </c>
      <c r="X93" s="1">
        <f t="shared" si="4"/>
        <v>3.7</v>
      </c>
      <c r="Y93" s="1">
        <f t="shared" si="5"/>
        <v>2.5</v>
      </c>
      <c r="Z93" s="2" t="s">
        <v>25</v>
      </c>
      <c r="AA93">
        <f t="shared" si="6"/>
        <v>-1.2</v>
      </c>
    </row>
    <row r="94" spans="1:27">
      <c r="A94" s="1">
        <v>93</v>
      </c>
      <c r="C94" s="1">
        <v>7</v>
      </c>
      <c r="D94" s="1">
        <v>1</v>
      </c>
      <c r="E94" s="1">
        <v>5</v>
      </c>
      <c r="F94" s="1">
        <v>1</v>
      </c>
      <c r="G94" s="1">
        <v>6</v>
      </c>
      <c r="H94" s="1">
        <v>4</v>
      </c>
      <c r="I94" s="1">
        <v>4</v>
      </c>
      <c r="J94" s="1">
        <v>3</v>
      </c>
      <c r="K94" s="1">
        <v>7</v>
      </c>
      <c r="L94" s="1">
        <v>2</v>
      </c>
      <c r="N94" s="1">
        <v>6</v>
      </c>
      <c r="O94" s="1">
        <v>4</v>
      </c>
      <c r="P94" s="1">
        <v>4</v>
      </c>
      <c r="Q94" s="1">
        <v>5</v>
      </c>
      <c r="R94" s="1">
        <v>7</v>
      </c>
      <c r="S94" s="1">
        <v>6</v>
      </c>
      <c r="T94" s="1">
        <v>7</v>
      </c>
      <c r="U94" s="1">
        <v>4</v>
      </c>
      <c r="V94" s="1">
        <v>2</v>
      </c>
      <c r="W94" s="1">
        <v>6</v>
      </c>
      <c r="X94" s="1">
        <f t="shared" si="4"/>
        <v>5.1</v>
      </c>
      <c r="Y94" s="1">
        <f t="shared" si="5"/>
        <v>4</v>
      </c>
      <c r="Z94" s="2" t="s">
        <v>25</v>
      </c>
      <c r="AA94">
        <f t="shared" si="6"/>
        <v>-1.1</v>
      </c>
    </row>
    <row r="95" spans="1:27">
      <c r="A95" s="1">
        <v>94</v>
      </c>
      <c r="C95" s="1">
        <v>7</v>
      </c>
      <c r="D95" s="1">
        <v>4</v>
      </c>
      <c r="E95" s="1">
        <v>5</v>
      </c>
      <c r="F95" s="1">
        <v>1</v>
      </c>
      <c r="G95" s="1">
        <v>6</v>
      </c>
      <c r="H95" s="1">
        <v>7</v>
      </c>
      <c r="I95" s="1">
        <v>5</v>
      </c>
      <c r="J95" s="1">
        <v>4</v>
      </c>
      <c r="K95" s="1">
        <v>7</v>
      </c>
      <c r="L95" s="1">
        <v>5</v>
      </c>
      <c r="N95" s="1">
        <v>3</v>
      </c>
      <c r="O95" s="1">
        <v>4</v>
      </c>
      <c r="P95" s="1">
        <v>3</v>
      </c>
      <c r="Q95" s="1">
        <v>5</v>
      </c>
      <c r="R95" s="1">
        <v>5</v>
      </c>
      <c r="S95" s="1">
        <v>5</v>
      </c>
      <c r="T95" s="1">
        <v>5</v>
      </c>
      <c r="U95" s="1">
        <v>4</v>
      </c>
      <c r="V95" s="1">
        <v>1</v>
      </c>
      <c r="W95" s="1">
        <v>4</v>
      </c>
      <c r="X95" s="1">
        <f t="shared" si="4"/>
        <v>3.9</v>
      </c>
      <c r="Y95" s="1">
        <f t="shared" si="5"/>
        <v>5.1</v>
      </c>
      <c r="Z95" s="2" t="s">
        <v>25</v>
      </c>
      <c r="AA95">
        <f t="shared" si="6"/>
        <v>1.2</v>
      </c>
    </row>
    <row r="96" spans="1:27">
      <c r="A96" s="1">
        <v>95</v>
      </c>
      <c r="C96" s="1">
        <v>5</v>
      </c>
      <c r="D96" s="1">
        <v>2</v>
      </c>
      <c r="E96" s="1">
        <v>2</v>
      </c>
      <c r="F96" s="1">
        <v>3</v>
      </c>
      <c r="G96" s="1">
        <v>5</v>
      </c>
      <c r="H96" s="1">
        <v>4</v>
      </c>
      <c r="I96" s="1">
        <v>6</v>
      </c>
      <c r="J96" s="1">
        <v>4</v>
      </c>
      <c r="K96" s="1">
        <v>1</v>
      </c>
      <c r="L96" s="1">
        <v>6</v>
      </c>
      <c r="N96" s="1">
        <v>1</v>
      </c>
      <c r="O96" s="1">
        <v>3</v>
      </c>
      <c r="P96" s="1">
        <v>4</v>
      </c>
      <c r="Q96" s="1">
        <v>6</v>
      </c>
      <c r="R96" s="1">
        <v>4</v>
      </c>
      <c r="S96" s="1">
        <v>5</v>
      </c>
      <c r="T96" s="1">
        <v>2</v>
      </c>
      <c r="U96" s="1">
        <v>4</v>
      </c>
      <c r="V96" s="1">
        <v>1</v>
      </c>
      <c r="W96" s="1">
        <v>5</v>
      </c>
      <c r="X96" s="1">
        <f t="shared" si="4"/>
        <v>3.5</v>
      </c>
      <c r="Y96" s="1">
        <f t="shared" si="5"/>
        <v>3.8</v>
      </c>
      <c r="Z96" s="2" t="s">
        <v>25</v>
      </c>
      <c r="AA96">
        <f t="shared" si="6"/>
        <v>0.3</v>
      </c>
    </row>
    <row r="97" spans="1:27">
      <c r="A97" s="1">
        <v>96</v>
      </c>
      <c r="C97" s="1">
        <v>4</v>
      </c>
      <c r="D97" s="1">
        <v>2</v>
      </c>
      <c r="E97" s="1">
        <v>5</v>
      </c>
      <c r="F97" s="1">
        <v>4</v>
      </c>
      <c r="G97" s="1">
        <v>4</v>
      </c>
      <c r="H97" s="1">
        <v>3</v>
      </c>
      <c r="I97" s="1">
        <v>3</v>
      </c>
      <c r="J97" s="1">
        <v>5</v>
      </c>
      <c r="K97" s="1">
        <v>1</v>
      </c>
      <c r="L97" s="1">
        <v>4</v>
      </c>
      <c r="N97" s="1">
        <v>4</v>
      </c>
      <c r="O97" s="1">
        <v>2</v>
      </c>
      <c r="P97" s="1">
        <v>6</v>
      </c>
      <c r="Q97" s="1">
        <v>6</v>
      </c>
      <c r="R97" s="1">
        <v>5</v>
      </c>
      <c r="S97" s="1">
        <v>7</v>
      </c>
      <c r="T97" s="1">
        <v>4</v>
      </c>
      <c r="U97" s="1">
        <v>6</v>
      </c>
      <c r="V97" s="1">
        <v>3</v>
      </c>
      <c r="W97" s="1">
        <v>3</v>
      </c>
      <c r="X97" s="1">
        <f t="shared" si="4"/>
        <v>4.6</v>
      </c>
      <c r="Y97" s="1">
        <f t="shared" si="5"/>
        <v>3.5</v>
      </c>
      <c r="Z97" s="2" t="s">
        <v>25</v>
      </c>
      <c r="AA97">
        <f t="shared" si="6"/>
        <v>-1.1</v>
      </c>
    </row>
    <row r="98" spans="1:27">
      <c r="A98" s="1">
        <v>97</v>
      </c>
      <c r="C98" s="1">
        <v>5</v>
      </c>
      <c r="D98" s="1">
        <v>4</v>
      </c>
      <c r="E98" s="1">
        <v>2</v>
      </c>
      <c r="F98" s="1">
        <v>2</v>
      </c>
      <c r="G98" s="1">
        <v>5</v>
      </c>
      <c r="H98" s="1">
        <v>6</v>
      </c>
      <c r="I98" s="1">
        <v>5</v>
      </c>
      <c r="J98" s="1">
        <v>4</v>
      </c>
      <c r="K98" s="1">
        <v>7</v>
      </c>
      <c r="L98" s="1">
        <v>3</v>
      </c>
      <c r="N98" s="1">
        <v>1</v>
      </c>
      <c r="O98" s="1">
        <v>2</v>
      </c>
      <c r="P98" s="1">
        <v>4</v>
      </c>
      <c r="Q98" s="1">
        <v>5</v>
      </c>
      <c r="R98" s="1">
        <v>5</v>
      </c>
      <c r="S98" s="1">
        <v>2</v>
      </c>
      <c r="T98" s="1">
        <v>5</v>
      </c>
      <c r="U98" s="1">
        <v>5</v>
      </c>
      <c r="V98" s="1">
        <v>4</v>
      </c>
      <c r="W98" s="1">
        <v>7</v>
      </c>
      <c r="X98" s="1">
        <f t="shared" si="4"/>
        <v>4</v>
      </c>
      <c r="Y98" s="1">
        <f t="shared" si="5"/>
        <v>4.3</v>
      </c>
      <c r="Z98" s="2" t="s">
        <v>32</v>
      </c>
      <c r="AA98">
        <f t="shared" si="6"/>
        <v>0.3</v>
      </c>
    </row>
    <row r="99" spans="1:27">
      <c r="A99" s="1">
        <v>98</v>
      </c>
      <c r="C99" s="1">
        <v>6</v>
      </c>
      <c r="D99" s="1">
        <v>4</v>
      </c>
      <c r="E99" s="1">
        <v>3</v>
      </c>
      <c r="F99" s="1">
        <v>4</v>
      </c>
      <c r="G99" s="1">
        <v>7</v>
      </c>
      <c r="H99" s="1">
        <v>6</v>
      </c>
      <c r="I99" s="1">
        <v>3</v>
      </c>
      <c r="J99" s="1">
        <v>3</v>
      </c>
      <c r="K99" s="1">
        <v>7</v>
      </c>
      <c r="L99" s="1">
        <v>5</v>
      </c>
      <c r="N99" s="1">
        <v>4</v>
      </c>
      <c r="O99" s="1">
        <v>5</v>
      </c>
      <c r="P99" s="1">
        <v>6</v>
      </c>
      <c r="Q99" s="1">
        <v>6</v>
      </c>
      <c r="R99" s="1">
        <v>7</v>
      </c>
      <c r="S99" s="1">
        <v>6</v>
      </c>
      <c r="T99" s="1">
        <v>6</v>
      </c>
      <c r="U99" s="1">
        <v>5</v>
      </c>
      <c r="V99" s="1">
        <v>7</v>
      </c>
      <c r="W99" s="1">
        <v>6</v>
      </c>
      <c r="X99" s="1">
        <f t="shared" si="4"/>
        <v>5.8</v>
      </c>
      <c r="Y99" s="1">
        <f t="shared" si="5"/>
        <v>4.8</v>
      </c>
      <c r="Z99" s="2" t="s">
        <v>32</v>
      </c>
      <c r="AA99">
        <f t="shared" si="6"/>
        <v>-1</v>
      </c>
    </row>
    <row r="100" spans="1:27">
      <c r="A100" s="1">
        <v>99</v>
      </c>
      <c r="C100" s="1">
        <v>6</v>
      </c>
      <c r="D100" s="1">
        <v>4</v>
      </c>
      <c r="E100" s="1">
        <v>6</v>
      </c>
      <c r="F100" s="1">
        <v>4</v>
      </c>
      <c r="G100" s="1">
        <v>6</v>
      </c>
      <c r="H100" s="1">
        <v>6</v>
      </c>
      <c r="I100" s="1">
        <v>5</v>
      </c>
      <c r="J100" s="1">
        <v>7</v>
      </c>
      <c r="K100" s="1">
        <v>3</v>
      </c>
      <c r="L100" s="1">
        <v>7</v>
      </c>
      <c r="N100" s="1">
        <v>7</v>
      </c>
      <c r="O100" s="1">
        <v>6</v>
      </c>
      <c r="P100" s="1">
        <v>4</v>
      </c>
      <c r="Q100" s="1">
        <v>3</v>
      </c>
      <c r="R100" s="1">
        <v>5</v>
      </c>
      <c r="S100" s="1">
        <v>2</v>
      </c>
      <c r="T100" s="1">
        <v>3</v>
      </c>
      <c r="U100" s="1">
        <v>5</v>
      </c>
      <c r="V100" s="1">
        <v>6</v>
      </c>
      <c r="W100" s="1">
        <v>5</v>
      </c>
      <c r="X100" s="1">
        <f t="shared" si="4"/>
        <v>4.6</v>
      </c>
      <c r="Y100" s="1">
        <f t="shared" si="5"/>
        <v>5.4</v>
      </c>
      <c r="Z100" s="2" t="s">
        <v>25</v>
      </c>
      <c r="AA100">
        <f t="shared" si="6"/>
        <v>0.800000000000001</v>
      </c>
    </row>
    <row r="101" spans="1:27">
      <c r="A101" s="1">
        <v>100</v>
      </c>
      <c r="C101" s="1">
        <v>7</v>
      </c>
      <c r="D101" s="1">
        <v>1</v>
      </c>
      <c r="E101" s="1">
        <v>5</v>
      </c>
      <c r="F101" s="1">
        <v>1</v>
      </c>
      <c r="G101" s="1">
        <v>7</v>
      </c>
      <c r="H101" s="1">
        <v>6</v>
      </c>
      <c r="I101" s="1">
        <v>4</v>
      </c>
      <c r="J101" s="1">
        <v>2</v>
      </c>
      <c r="K101" s="1">
        <v>7</v>
      </c>
      <c r="L101" s="1">
        <v>2</v>
      </c>
      <c r="N101" s="1">
        <v>5</v>
      </c>
      <c r="O101" s="1">
        <v>7</v>
      </c>
      <c r="P101" s="1">
        <v>4</v>
      </c>
      <c r="Q101" s="1">
        <v>5</v>
      </c>
      <c r="R101" s="1">
        <v>7</v>
      </c>
      <c r="S101" s="1">
        <v>5</v>
      </c>
      <c r="T101" s="1">
        <v>7</v>
      </c>
      <c r="U101" s="1">
        <v>4</v>
      </c>
      <c r="V101" s="1">
        <v>2</v>
      </c>
      <c r="W101" s="1">
        <v>6</v>
      </c>
      <c r="X101" s="1">
        <f t="shared" si="4"/>
        <v>5.2</v>
      </c>
      <c r="Y101" s="1">
        <f t="shared" si="5"/>
        <v>4.2</v>
      </c>
      <c r="Z101" s="2" t="s">
        <v>25</v>
      </c>
      <c r="AA101">
        <f t="shared" si="6"/>
        <v>-1</v>
      </c>
    </row>
    <row r="102" spans="1:27">
      <c r="A102" s="1">
        <v>101</v>
      </c>
      <c r="C102" s="1">
        <v>6</v>
      </c>
      <c r="D102" s="1">
        <v>3</v>
      </c>
      <c r="E102" s="1">
        <v>5</v>
      </c>
      <c r="F102" s="1">
        <v>3</v>
      </c>
      <c r="G102" s="1">
        <v>6</v>
      </c>
      <c r="H102" s="1">
        <v>5</v>
      </c>
      <c r="I102" s="1">
        <v>1</v>
      </c>
      <c r="J102" s="1">
        <v>2</v>
      </c>
      <c r="K102" s="1">
        <v>3</v>
      </c>
      <c r="L102" s="1">
        <v>5</v>
      </c>
      <c r="N102" s="1">
        <v>1</v>
      </c>
      <c r="O102" s="1">
        <v>2</v>
      </c>
      <c r="P102" s="1">
        <v>3</v>
      </c>
      <c r="Q102" s="1">
        <v>6</v>
      </c>
      <c r="R102" s="1">
        <v>5</v>
      </c>
      <c r="S102" s="1">
        <v>5</v>
      </c>
      <c r="T102" s="1">
        <v>5</v>
      </c>
      <c r="U102" s="1">
        <v>6</v>
      </c>
      <c r="V102" s="1">
        <v>1</v>
      </c>
      <c r="W102" s="1">
        <v>5</v>
      </c>
      <c r="X102" s="1">
        <f t="shared" si="4"/>
        <v>3.9</v>
      </c>
      <c r="Y102" s="1">
        <f t="shared" si="5"/>
        <v>3.9</v>
      </c>
      <c r="Z102" s="2" t="s">
        <v>25</v>
      </c>
      <c r="AA102">
        <f t="shared" si="6"/>
        <v>0</v>
      </c>
    </row>
    <row r="103" spans="1:27">
      <c r="A103" s="1">
        <v>102</v>
      </c>
      <c r="C103" s="1">
        <v>5</v>
      </c>
      <c r="D103" s="1">
        <v>6</v>
      </c>
      <c r="E103" s="1">
        <v>6</v>
      </c>
      <c r="F103" s="1">
        <v>6</v>
      </c>
      <c r="G103" s="1">
        <v>4</v>
      </c>
      <c r="H103" s="1">
        <v>5</v>
      </c>
      <c r="I103" s="1">
        <v>4</v>
      </c>
      <c r="J103" s="1">
        <v>4</v>
      </c>
      <c r="K103" s="1">
        <v>3</v>
      </c>
      <c r="L103" s="1">
        <v>4</v>
      </c>
      <c r="N103" s="1">
        <v>4</v>
      </c>
      <c r="O103" s="1">
        <v>4</v>
      </c>
      <c r="P103" s="1">
        <v>6</v>
      </c>
      <c r="Q103" s="1">
        <v>4</v>
      </c>
      <c r="R103" s="1">
        <v>3</v>
      </c>
      <c r="S103" s="1">
        <v>3</v>
      </c>
      <c r="T103" s="1">
        <v>4</v>
      </c>
      <c r="U103" s="1">
        <v>7</v>
      </c>
      <c r="V103" s="1">
        <v>6</v>
      </c>
      <c r="W103" s="1">
        <v>4</v>
      </c>
      <c r="X103" s="1">
        <f t="shared" si="4"/>
        <v>4.5</v>
      </c>
      <c r="Y103" s="1">
        <f t="shared" si="5"/>
        <v>4.7</v>
      </c>
      <c r="Z103" s="2" t="s">
        <v>25</v>
      </c>
      <c r="AA103">
        <f t="shared" si="6"/>
        <v>0.2</v>
      </c>
    </row>
    <row r="104" spans="1:27">
      <c r="A104" s="1">
        <v>103</v>
      </c>
      <c r="C104" s="1">
        <v>4</v>
      </c>
      <c r="D104" s="1">
        <v>5</v>
      </c>
      <c r="E104" s="1">
        <v>4</v>
      </c>
      <c r="F104" s="1">
        <v>5</v>
      </c>
      <c r="G104" s="1">
        <v>3</v>
      </c>
      <c r="H104" s="1">
        <v>4</v>
      </c>
      <c r="I104" s="1">
        <v>3</v>
      </c>
      <c r="J104" s="1">
        <v>4</v>
      </c>
      <c r="K104" s="1">
        <v>5</v>
      </c>
      <c r="L104" s="1">
        <v>4</v>
      </c>
      <c r="N104" s="1">
        <v>4</v>
      </c>
      <c r="O104" s="1">
        <v>5</v>
      </c>
      <c r="P104" s="1">
        <v>4</v>
      </c>
      <c r="Q104" s="1">
        <v>4</v>
      </c>
      <c r="R104" s="1">
        <v>5</v>
      </c>
      <c r="S104" s="1">
        <v>4</v>
      </c>
      <c r="T104" s="1">
        <v>4</v>
      </c>
      <c r="U104" s="1">
        <v>5</v>
      </c>
      <c r="V104" s="1">
        <v>4</v>
      </c>
      <c r="W104" s="1">
        <v>4</v>
      </c>
      <c r="X104" s="1">
        <f t="shared" si="4"/>
        <v>4.3</v>
      </c>
      <c r="Y104" s="1">
        <f t="shared" si="5"/>
        <v>4.1</v>
      </c>
      <c r="Z104" s="2" t="s">
        <v>32</v>
      </c>
      <c r="AA104">
        <f t="shared" si="6"/>
        <v>-0.2</v>
      </c>
    </row>
    <row r="105" spans="1:27">
      <c r="A105" s="1">
        <v>104</v>
      </c>
      <c r="C105" s="1">
        <v>3</v>
      </c>
      <c r="D105" s="1">
        <v>5</v>
      </c>
      <c r="E105" s="1">
        <v>2</v>
      </c>
      <c r="F105" s="1">
        <v>4</v>
      </c>
      <c r="G105" s="1">
        <v>3</v>
      </c>
      <c r="H105" s="1">
        <v>4</v>
      </c>
      <c r="I105" s="1">
        <v>1</v>
      </c>
      <c r="J105" s="1">
        <v>4</v>
      </c>
      <c r="K105" s="1">
        <v>3</v>
      </c>
      <c r="L105" s="1">
        <v>4</v>
      </c>
      <c r="N105" s="1">
        <v>3</v>
      </c>
      <c r="O105" s="1">
        <v>5</v>
      </c>
      <c r="P105" s="1">
        <v>3</v>
      </c>
      <c r="Q105" s="1">
        <v>1</v>
      </c>
      <c r="R105" s="1">
        <v>4</v>
      </c>
      <c r="S105" s="1">
        <v>3</v>
      </c>
      <c r="T105" s="1">
        <v>2</v>
      </c>
      <c r="U105" s="1">
        <v>3</v>
      </c>
      <c r="V105" s="1">
        <v>4</v>
      </c>
      <c r="W105" s="1">
        <v>3</v>
      </c>
      <c r="X105" s="1">
        <f t="shared" si="4"/>
        <v>3.1</v>
      </c>
      <c r="Y105" s="1">
        <f t="shared" si="5"/>
        <v>3.3</v>
      </c>
      <c r="Z105" s="2" t="s">
        <v>25</v>
      </c>
      <c r="AA105">
        <f t="shared" si="6"/>
        <v>0.2</v>
      </c>
    </row>
    <row r="106" spans="1:27">
      <c r="A106" s="1">
        <v>105</v>
      </c>
      <c r="C106" s="1">
        <v>5</v>
      </c>
      <c r="D106" s="1">
        <v>1</v>
      </c>
      <c r="E106" s="1">
        <v>3</v>
      </c>
      <c r="F106" s="1">
        <v>3</v>
      </c>
      <c r="G106" s="1">
        <v>2</v>
      </c>
      <c r="H106" s="1">
        <v>5</v>
      </c>
      <c r="I106" s="1">
        <v>5</v>
      </c>
      <c r="J106" s="1">
        <v>5</v>
      </c>
      <c r="K106" s="1">
        <v>5</v>
      </c>
      <c r="L106" s="1">
        <v>2</v>
      </c>
      <c r="N106" s="1">
        <v>3</v>
      </c>
      <c r="O106" s="1">
        <v>5</v>
      </c>
      <c r="P106" s="1">
        <v>3</v>
      </c>
      <c r="Q106" s="1">
        <v>1</v>
      </c>
      <c r="R106" s="1">
        <v>3</v>
      </c>
      <c r="S106" s="1">
        <v>2</v>
      </c>
      <c r="T106" s="1">
        <v>7</v>
      </c>
      <c r="U106" s="1">
        <v>4</v>
      </c>
      <c r="V106" s="1">
        <v>3</v>
      </c>
      <c r="W106" s="1">
        <v>6</v>
      </c>
      <c r="X106" s="1">
        <f t="shared" si="4"/>
        <v>3.7</v>
      </c>
      <c r="Y106" s="1">
        <f t="shared" si="5"/>
        <v>3.6</v>
      </c>
      <c r="Z106" s="2" t="s">
        <v>25</v>
      </c>
      <c r="AA106">
        <f t="shared" si="6"/>
        <v>-0.1</v>
      </c>
    </row>
    <row r="107" spans="1:27">
      <c r="A107" s="1">
        <v>106</v>
      </c>
      <c r="C107" s="1">
        <v>6</v>
      </c>
      <c r="D107" s="1">
        <v>4</v>
      </c>
      <c r="E107" s="1">
        <v>2</v>
      </c>
      <c r="F107" s="1">
        <v>1</v>
      </c>
      <c r="G107" s="1">
        <v>6</v>
      </c>
      <c r="H107" s="1">
        <v>6</v>
      </c>
      <c r="I107" s="1">
        <v>3</v>
      </c>
      <c r="J107" s="1">
        <v>1</v>
      </c>
      <c r="K107" s="1">
        <v>6</v>
      </c>
      <c r="L107" s="1">
        <v>5</v>
      </c>
      <c r="N107" s="1">
        <v>4</v>
      </c>
      <c r="O107" s="1">
        <v>5</v>
      </c>
      <c r="P107" s="1">
        <v>6</v>
      </c>
      <c r="Q107" s="1">
        <v>6</v>
      </c>
      <c r="R107" s="1">
        <v>7</v>
      </c>
      <c r="S107" s="1">
        <v>6</v>
      </c>
      <c r="T107" s="1">
        <v>6</v>
      </c>
      <c r="U107" s="1">
        <v>4</v>
      </c>
      <c r="V107" s="1">
        <v>7</v>
      </c>
      <c r="W107" s="1">
        <v>6</v>
      </c>
      <c r="X107" s="1">
        <f t="shared" si="4"/>
        <v>5.7</v>
      </c>
      <c r="Y107" s="1">
        <f t="shared" si="5"/>
        <v>4</v>
      </c>
      <c r="Z107" s="2" t="s">
        <v>32</v>
      </c>
      <c r="AA107">
        <f t="shared" si="6"/>
        <v>-1.7</v>
      </c>
    </row>
    <row r="108" spans="1:27">
      <c r="A108" s="1">
        <v>107</v>
      </c>
      <c r="C108" s="1">
        <v>5</v>
      </c>
      <c r="D108" s="1">
        <v>4</v>
      </c>
      <c r="E108" s="1">
        <v>6</v>
      </c>
      <c r="F108" s="1">
        <v>1</v>
      </c>
      <c r="G108" s="1">
        <v>7</v>
      </c>
      <c r="H108" s="1">
        <v>7</v>
      </c>
      <c r="I108" s="1">
        <v>6</v>
      </c>
      <c r="J108" s="1">
        <v>1</v>
      </c>
      <c r="K108" s="1">
        <v>6</v>
      </c>
      <c r="L108" s="1">
        <v>6</v>
      </c>
      <c r="N108" s="1">
        <v>6</v>
      </c>
      <c r="O108" s="1">
        <v>6</v>
      </c>
      <c r="P108" s="1">
        <v>7</v>
      </c>
      <c r="Q108" s="1">
        <v>5</v>
      </c>
      <c r="R108" s="1">
        <v>6</v>
      </c>
      <c r="S108" s="1">
        <v>7</v>
      </c>
      <c r="T108" s="1">
        <v>7</v>
      </c>
      <c r="U108" s="1">
        <v>7</v>
      </c>
      <c r="V108" s="1">
        <v>7</v>
      </c>
      <c r="W108" s="1">
        <v>4</v>
      </c>
      <c r="X108" s="1">
        <f t="shared" si="4"/>
        <v>6.2</v>
      </c>
      <c r="Y108" s="1">
        <f t="shared" si="5"/>
        <v>4.9</v>
      </c>
      <c r="Z108" s="2" t="s">
        <v>32</v>
      </c>
      <c r="AA108">
        <f t="shared" si="6"/>
        <v>-1.3</v>
      </c>
    </row>
    <row r="109" spans="1:27">
      <c r="A109" s="1">
        <v>108</v>
      </c>
      <c r="C109" s="1">
        <v>7</v>
      </c>
      <c r="D109" s="1">
        <v>6</v>
      </c>
      <c r="E109" s="1">
        <v>5</v>
      </c>
      <c r="F109" s="1">
        <v>1</v>
      </c>
      <c r="G109" s="1">
        <v>6</v>
      </c>
      <c r="H109" s="1">
        <v>5</v>
      </c>
      <c r="I109" s="1">
        <v>5</v>
      </c>
      <c r="J109" s="1">
        <v>5</v>
      </c>
      <c r="K109" s="1">
        <v>5</v>
      </c>
      <c r="L109" s="1">
        <v>7</v>
      </c>
      <c r="N109" s="1">
        <v>7</v>
      </c>
      <c r="O109" s="1">
        <v>6</v>
      </c>
      <c r="P109" s="1">
        <v>7</v>
      </c>
      <c r="Q109" s="1">
        <v>6</v>
      </c>
      <c r="R109" s="1">
        <v>5</v>
      </c>
      <c r="S109" s="1">
        <v>6</v>
      </c>
      <c r="T109" s="1">
        <v>7</v>
      </c>
      <c r="U109" s="1">
        <v>7</v>
      </c>
      <c r="V109" s="1">
        <v>5</v>
      </c>
      <c r="W109" s="1">
        <v>5</v>
      </c>
      <c r="X109" s="1">
        <f t="shared" si="4"/>
        <v>6.1</v>
      </c>
      <c r="Y109" s="1">
        <f t="shared" si="5"/>
        <v>5.2</v>
      </c>
      <c r="Z109" s="2" t="s">
        <v>25</v>
      </c>
      <c r="AA109">
        <f t="shared" si="6"/>
        <v>-0.899999999999999</v>
      </c>
    </row>
  </sheetData>
  <mergeCells count="1">
    <mergeCell ref="AK1:AO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" sqref="A1"/>
    </sheetView>
  </sheetViews>
  <sheetFormatPr defaultColWidth="9" defaultRowHeight="14" outlineLevelCol="2"/>
  <sheetData>
    <row r="1" spans="1:3">
      <c r="A1">
        <v>0</v>
      </c>
      <c r="B1">
        <v>1</v>
      </c>
      <c r="C1">
        <v>2</v>
      </c>
    </row>
    <row r="2" spans="1:3">
      <c r="A2" t="s">
        <v>33</v>
      </c>
      <c r="B2" t="s">
        <v>34</v>
      </c>
      <c r="C2" t="s">
        <v>35</v>
      </c>
    </row>
    <row r="3" spans="2:2">
      <c r="B3" t="s">
        <v>36</v>
      </c>
    </row>
    <row r="4" spans="2:3">
      <c r="B4" t="s">
        <v>37</v>
      </c>
      <c r="C4" t="s">
        <v>32</v>
      </c>
    </row>
    <row r="5" spans="2:3">
      <c r="B5" t="s">
        <v>38</v>
      </c>
      <c r="C5" t="s">
        <v>25</v>
      </c>
    </row>
    <row r="6" spans="1:3">
      <c r="A6" t="s">
        <v>39</v>
      </c>
      <c r="B6" t="s">
        <v>40</v>
      </c>
      <c r="C6" t="s">
        <v>41</v>
      </c>
    </row>
    <row r="7" spans="2:2">
      <c r="B7" t="s">
        <v>42</v>
      </c>
    </row>
    <row r="8" spans="2:3">
      <c r="B8" t="s">
        <v>43</v>
      </c>
      <c r="C8" t="s">
        <v>1</v>
      </c>
    </row>
    <row r="9" spans="2:3">
      <c r="B9" t="s">
        <v>44</v>
      </c>
      <c r="C9" t="s">
        <v>2</v>
      </c>
    </row>
    <row r="10" spans="2:3">
      <c r="B10" t="s">
        <v>45</v>
      </c>
      <c r="C10" t="s">
        <v>3</v>
      </c>
    </row>
    <row r="11" spans="2:3">
      <c r="B11" t="s">
        <v>46</v>
      </c>
      <c r="C11" t="s">
        <v>4</v>
      </c>
    </row>
    <row r="12" spans="2:3">
      <c r="B12" t="s">
        <v>47</v>
      </c>
      <c r="C12" t="s">
        <v>5</v>
      </c>
    </row>
    <row r="13" spans="2:3">
      <c r="B13" t="s">
        <v>48</v>
      </c>
      <c r="C13" t="s">
        <v>6</v>
      </c>
    </row>
    <row r="14" spans="2:3">
      <c r="B14" t="s">
        <v>49</v>
      </c>
      <c r="C14" t="s">
        <v>7</v>
      </c>
    </row>
    <row r="15" spans="2:3">
      <c r="B15" t="s">
        <v>50</v>
      </c>
      <c r="C15" t="s">
        <v>8</v>
      </c>
    </row>
    <row r="16" spans="2:3">
      <c r="B16" t="s">
        <v>51</v>
      </c>
      <c r="C16" t="s">
        <v>9</v>
      </c>
    </row>
    <row r="17" spans="2:3">
      <c r="B17" t="s">
        <v>52</v>
      </c>
      <c r="C17" t="s">
        <v>10</v>
      </c>
    </row>
    <row r="18" spans="2:3">
      <c r="B18" t="s">
        <v>53</v>
      </c>
      <c r="C18" t="s">
        <v>11</v>
      </c>
    </row>
    <row r="19" spans="2:3">
      <c r="B19" t="s">
        <v>54</v>
      </c>
      <c r="C19" t="s">
        <v>12</v>
      </c>
    </row>
    <row r="20" spans="2:3">
      <c r="B20" t="s">
        <v>55</v>
      </c>
      <c r="C20" t="s">
        <v>13</v>
      </c>
    </row>
    <row r="21" spans="2:3">
      <c r="B21" t="s">
        <v>56</v>
      </c>
      <c r="C21" t="s">
        <v>14</v>
      </c>
    </row>
    <row r="22" spans="2:3">
      <c r="B22" t="s">
        <v>57</v>
      </c>
      <c r="C22" t="s">
        <v>15</v>
      </c>
    </row>
    <row r="23" spans="2:3">
      <c r="B23" t="s">
        <v>58</v>
      </c>
      <c r="C23" t="s">
        <v>16</v>
      </c>
    </row>
    <row r="24" spans="2:3">
      <c r="B24" t="s">
        <v>59</v>
      </c>
      <c r="C24" t="s">
        <v>17</v>
      </c>
    </row>
    <row r="25" spans="2:3">
      <c r="B25" t="s">
        <v>60</v>
      </c>
      <c r="C25" t="s">
        <v>18</v>
      </c>
    </row>
    <row r="26" spans="2:3">
      <c r="B26" t="s">
        <v>61</v>
      </c>
      <c r="C26" t="s">
        <v>19</v>
      </c>
    </row>
    <row r="27" spans="2:3">
      <c r="B27" t="s">
        <v>62</v>
      </c>
      <c r="C27" t="s">
        <v>20</v>
      </c>
    </row>
    <row r="28" spans="2:3">
      <c r="B28" t="s">
        <v>63</v>
      </c>
      <c r="C28" t="s">
        <v>64</v>
      </c>
    </row>
    <row r="29" spans="2:3">
      <c r="B29" t="s">
        <v>65</v>
      </c>
      <c r="C29" t="s">
        <v>66</v>
      </c>
    </row>
    <row r="30" spans="2:3">
      <c r="B30" t="s">
        <v>67</v>
      </c>
      <c r="C30" t="s">
        <v>68</v>
      </c>
    </row>
    <row r="31" spans="2:3">
      <c r="B31" t="s">
        <v>69</v>
      </c>
      <c r="C31" t="s">
        <v>70</v>
      </c>
    </row>
    <row r="32" spans="2:3">
      <c r="B32" t="s">
        <v>71</v>
      </c>
      <c r="C32" t="s">
        <v>72</v>
      </c>
    </row>
    <row r="33" spans="2:3">
      <c r="B33" t="s">
        <v>73</v>
      </c>
      <c r="C33" t="s">
        <v>74</v>
      </c>
    </row>
    <row r="34" spans="2:3">
      <c r="B34" t="s">
        <v>75</v>
      </c>
      <c r="C34" t="s">
        <v>76</v>
      </c>
    </row>
    <row r="35" spans="2:3">
      <c r="B35" t="s">
        <v>77</v>
      </c>
      <c r="C35" t="s">
        <v>78</v>
      </c>
    </row>
    <row r="36" spans="2:3">
      <c r="B36" t="s">
        <v>79</v>
      </c>
      <c r="C36" t="s">
        <v>80</v>
      </c>
    </row>
    <row r="37" spans="2:3">
      <c r="B37" t="s">
        <v>81</v>
      </c>
      <c r="C37" t="s">
        <v>82</v>
      </c>
    </row>
    <row r="38" spans="2:2">
      <c r="B38" t="s">
        <v>83</v>
      </c>
    </row>
    <row r="39" spans="2:3">
      <c r="B39" t="s">
        <v>37</v>
      </c>
      <c r="C39" t="s">
        <v>84</v>
      </c>
    </row>
    <row r="40" spans="2:3">
      <c r="B40" t="s">
        <v>38</v>
      </c>
      <c r="C40" t="s">
        <v>85</v>
      </c>
    </row>
    <row r="41" spans="2:3">
      <c r="B41" t="s">
        <v>86</v>
      </c>
      <c r="C41" t="s">
        <v>87</v>
      </c>
    </row>
    <row r="42" spans="2:3">
      <c r="B42" t="s">
        <v>88</v>
      </c>
      <c r="C42" t="s">
        <v>89</v>
      </c>
    </row>
    <row r="43" spans="2:3">
      <c r="B43" t="s">
        <v>90</v>
      </c>
      <c r="C43" t="s">
        <v>91</v>
      </c>
    </row>
    <row r="44" spans="2:3">
      <c r="B44" t="s">
        <v>92</v>
      </c>
      <c r="C44" t="s">
        <v>93</v>
      </c>
    </row>
    <row r="45" spans="2:3">
      <c r="B45" t="s">
        <v>94</v>
      </c>
      <c r="C45" t="s">
        <v>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编码数据_202312060859_0</vt:lpstr>
      <vt:lpstr>文本编码对照表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陈卓妍</cp:lastModifiedBy>
  <dcterms:created xsi:type="dcterms:W3CDTF">2023-12-06T00:59:00Z</dcterms:created>
  <dcterms:modified xsi:type="dcterms:W3CDTF">2023-12-08T02:55:44Z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157A03297C804A789A7EA76EEFEAB3D1_12</vt:lpwstr>
  </property>
  <property fmtid="{D5CDD505-2E9C-101B-9397-08002B2CF9AE}" pid="3" name="KSOProductBuildVer">
    <vt:lpwstr>2052-12.1.0.15712</vt:lpwstr>
  </property>
</Properties>
</file>