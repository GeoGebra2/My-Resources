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<sst xmlns="http://schemas.openxmlformats.org/spreadsheetml/2006/main" count="18" uniqueCount="6">
  <si>
    <r>
      <rPr>
        <sz val="10.5"/>
        <color theme="1"/>
        <rFont val="宋体"/>
        <charset val="134"/>
      </rPr>
      <t>钢球碰撞打靶的实验数据记录表（</t>
    </r>
    <r>
      <rPr>
        <sz val="10.5"/>
        <color theme="1"/>
        <rFont val="Calibri"/>
        <charset val="134"/>
      </rPr>
      <t>m1 = 32.075g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</si>
  <si>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次数</t>
    </r>
  </si>
  <si>
    <r>
      <rPr>
        <sz val="10.5"/>
        <color theme="1"/>
        <rFont val="Calibri"/>
        <charset val="134"/>
      </rPr>
      <t>X/cm</t>
    </r>
  </si>
  <si>
    <r>
      <rPr>
        <sz val="10.5"/>
        <color theme="1"/>
        <rFont val="Calibri"/>
        <charset val="134"/>
      </rPr>
      <t>/cm</t>
    </r>
  </si>
  <si>
    <r>
      <t>铜球碰撞打靶的实验数据记录表（</t>
    </r>
    <r>
      <rPr>
        <sz val="10.5"/>
        <color theme="1"/>
        <rFont val="Calibri"/>
        <charset val="134"/>
      </rPr>
      <t>m1 = 35.250g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</si>
  <si>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铝球碰撞打靶的实验数据记录表（</t>
    </r>
    <r>
      <rPr>
        <sz val="10.5"/>
        <color theme="1"/>
        <rFont val="Calibri"/>
        <charset val="134"/>
      </rPr>
      <t>m1 = 11.288g</t>
    </r>
    <r>
      <rPr>
        <sz val="10.5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</si>
</sst>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file:///C:\Users\Clown\AppData\Local\Temp\ksohtml14072\wps5.jpg" TargetMode="External"/><Relationship Id="rId8" Type="http://schemas.openxmlformats.org/officeDocument/2006/relationships/image" Target="file:///C:\Users\Clown\AppData\Local\Temp\ksohtml14072\wps4.jpg" TargetMode="External"/><Relationship Id="rId7" Type="http://schemas.openxmlformats.org/officeDocument/2006/relationships/image" Target="../media/image4.jpeg"/><Relationship Id="rId6" Type="http://schemas.openxmlformats.org/officeDocument/2006/relationships/image" Target="file:///C:\Users\Clown\AppData\Local\Temp\ksohtml14072\wps3.jpg" TargetMode="External"/><Relationship Id="rId5" Type="http://schemas.openxmlformats.org/officeDocument/2006/relationships/image" Target="../media/image3.jpeg"/><Relationship Id="rId4" Type="http://schemas.openxmlformats.org/officeDocument/2006/relationships/image" Target="file:///C:\Users\Clown\AppData\Local\Temp\ksohtml14072\wps2.jpg" TargetMode="External"/><Relationship Id="rId3" Type="http://schemas.openxmlformats.org/officeDocument/2006/relationships/image" Target="../media/image2.jpeg"/><Relationship Id="rId2" Type="http://schemas.openxmlformats.org/officeDocument/2006/relationships/image" Target="file:///C:\Users\Clown\AppData\Local\Temp\ksohtml14072\wps1.jpg" TargetMode="External"/><Relationship Id="rId16" Type="http://schemas.openxmlformats.org/officeDocument/2006/relationships/image" Target="file:///C:\Users\Clown\AppData\Local\Temp\ksohtml14072\wps12.jpg" TargetMode="External"/><Relationship Id="rId15" Type="http://schemas.openxmlformats.org/officeDocument/2006/relationships/image" Target="file:///C:\Users\Clown\AppData\Local\Temp\ksohtml14072\wps11.jpg" TargetMode="External"/><Relationship Id="rId14" Type="http://schemas.openxmlformats.org/officeDocument/2006/relationships/image" Target="file:///C:\Users\Clown\AppData\Local\Temp\ksohtml14072\wps10.jpg" TargetMode="External"/><Relationship Id="rId13" Type="http://schemas.openxmlformats.org/officeDocument/2006/relationships/image" Target="file:///C:\Users\Clown\AppData\Local\Temp\ksohtml14072\wps9.jpg" TargetMode="External"/><Relationship Id="rId12" Type="http://schemas.openxmlformats.org/officeDocument/2006/relationships/image" Target="file:///C:\Users\Clown\AppData\Local\Temp\ksohtml14072\wps8.jpg" TargetMode="External"/><Relationship Id="rId11" Type="http://schemas.openxmlformats.org/officeDocument/2006/relationships/image" Target="file:///C:\Users\Clown\AppData\Local\Temp\ksohtml14072\wps7.jpg" TargetMode="External"/><Relationship Id="rId10" Type="http://schemas.openxmlformats.org/officeDocument/2006/relationships/image" Target="file:///C:\Users\Clown\AppData\Local\Temp\ksohtml14072\wps6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82550</xdr:colOff>
      <xdr:row>3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590550"/>
          <a:ext cx="825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82550</xdr:colOff>
      <xdr:row>4</xdr:row>
      <xdr:rowOff>127000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0" y="777875"/>
          <a:ext cx="825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44450</xdr:colOff>
      <xdr:row>5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0" y="965200"/>
          <a:ext cx="444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171450</xdr:colOff>
      <xdr:row>6</xdr:row>
      <xdr:rowOff>127000</xdr:rowOff>
    </xdr:to>
    <xdr:pic>
      <xdr:nvPicPr>
        <xdr:cNvPr id="5" name="图片 4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0" y="1152525"/>
          <a:ext cx="1714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82550</xdr:colOff>
      <xdr:row>11</xdr:row>
      <xdr:rowOff>127000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9"/>
        <a:stretch>
          <a:fillRect/>
        </a:stretch>
      </xdr:blipFill>
      <xdr:spPr>
        <a:xfrm>
          <a:off x="0" y="2613025"/>
          <a:ext cx="825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82550</xdr:colOff>
      <xdr:row>12</xdr:row>
      <xdr:rowOff>127000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10"/>
        <a:stretch>
          <a:fillRect/>
        </a:stretch>
      </xdr:blipFill>
      <xdr:spPr>
        <a:xfrm>
          <a:off x="0" y="2800350"/>
          <a:ext cx="825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44450</xdr:colOff>
      <xdr:row>13</xdr:row>
      <xdr:rowOff>127000</xdr:rowOff>
    </xdr:to>
    <xdr:pic>
      <xdr:nvPicPr>
        <xdr:cNvPr id="8" name="图片 7"/>
        <xdr:cNvPicPr>
          <a:picLocks noChangeAspect="1"/>
        </xdr:cNvPicPr>
      </xdr:nvPicPr>
      <xdr:blipFill>
        <a:blip r:embed="rId5" r:link="rId11"/>
        <a:stretch>
          <a:fillRect/>
        </a:stretch>
      </xdr:blipFill>
      <xdr:spPr>
        <a:xfrm>
          <a:off x="0" y="2987675"/>
          <a:ext cx="444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171450</xdr:colOff>
      <xdr:row>14</xdr:row>
      <xdr:rowOff>127000</xdr:rowOff>
    </xdr:to>
    <xdr:pic>
      <xdr:nvPicPr>
        <xdr:cNvPr id="9" name="图片 8"/>
        <xdr:cNvPicPr>
          <a:picLocks noChangeAspect="1"/>
        </xdr:cNvPicPr>
      </xdr:nvPicPr>
      <xdr:blipFill>
        <a:blip r:embed="rId7" r:link="rId12"/>
        <a:stretch>
          <a:fillRect/>
        </a:stretch>
      </xdr:blipFill>
      <xdr:spPr>
        <a:xfrm>
          <a:off x="0" y="3175000"/>
          <a:ext cx="1714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82550</xdr:colOff>
      <xdr:row>19</xdr:row>
      <xdr:rowOff>127000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13"/>
        <a:stretch>
          <a:fillRect/>
        </a:stretch>
      </xdr:blipFill>
      <xdr:spPr>
        <a:xfrm>
          <a:off x="0" y="4102100"/>
          <a:ext cx="825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82550</xdr:colOff>
      <xdr:row>20</xdr:row>
      <xdr:rowOff>127000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14"/>
        <a:stretch>
          <a:fillRect/>
        </a:stretch>
      </xdr:blipFill>
      <xdr:spPr>
        <a:xfrm>
          <a:off x="0" y="4289425"/>
          <a:ext cx="825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44450</xdr:colOff>
      <xdr:row>21</xdr:row>
      <xdr:rowOff>127000</xdr:rowOff>
    </xdr:to>
    <xdr:pic>
      <xdr:nvPicPr>
        <xdr:cNvPr id="12" name="图片 11"/>
        <xdr:cNvPicPr>
          <a:picLocks noChangeAspect="1"/>
        </xdr:cNvPicPr>
      </xdr:nvPicPr>
      <xdr:blipFill>
        <a:blip r:embed="rId5" r:link="rId15"/>
        <a:stretch>
          <a:fillRect/>
        </a:stretch>
      </xdr:blipFill>
      <xdr:spPr>
        <a:xfrm>
          <a:off x="0" y="4476750"/>
          <a:ext cx="44450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171450</xdr:colOff>
      <xdr:row>22</xdr:row>
      <xdr:rowOff>127000</xdr:rowOff>
    </xdr:to>
    <xdr:pic>
      <xdr:nvPicPr>
        <xdr:cNvPr id="13" name="图片 12"/>
        <xdr:cNvPicPr>
          <a:picLocks noChangeAspect="1"/>
        </xdr:cNvPicPr>
      </xdr:nvPicPr>
      <xdr:blipFill>
        <a:blip r:embed="rId7" r:link="rId16"/>
        <a:stretch>
          <a:fillRect/>
        </a:stretch>
      </xdr:blipFill>
      <xdr:spPr>
        <a:xfrm>
          <a:off x="0" y="4664075"/>
          <a:ext cx="171450" cy="12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zoomScale="145" zoomScaleNormal="145" topLeftCell="A3" workbookViewId="0">
      <selection activeCell="B15" sqref="B15:G15"/>
    </sheetView>
  </sheetViews>
  <sheetFormatPr defaultColWidth="8.72727272727273" defaultRowHeight="14"/>
  <cols>
    <col min="1" max="1" width="12.5454545454545" customWidth="1"/>
    <col min="2" max="2" width="12.7272727272727" customWidth="1"/>
    <col min="3" max="3" width="12.8181818181818"/>
    <col min="4" max="7" width="14"/>
    <col min="8" max="10" width="12.8181818181818"/>
  </cols>
  <sheetData>
    <row r="1" ht="17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4.75" spans="1:10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</row>
    <row r="3" ht="14.75" spans="1:10">
      <c r="A3" s="4" t="s">
        <v>2</v>
      </c>
      <c r="B3" s="4">
        <v>14</v>
      </c>
      <c r="C3" s="4">
        <v>14.5</v>
      </c>
      <c r="D3" s="4">
        <v>15</v>
      </c>
      <c r="E3" s="4">
        <v>15.5</v>
      </c>
      <c r="F3" s="4">
        <v>16</v>
      </c>
      <c r="G3" s="4">
        <v>16.5</v>
      </c>
      <c r="H3" s="4">
        <v>17</v>
      </c>
      <c r="I3" s="4">
        <v>17.5</v>
      </c>
      <c r="J3" s="4">
        <v>18</v>
      </c>
    </row>
    <row r="4" ht="14.75" spans="1:10">
      <c r="A4" s="4" t="s">
        <v>3</v>
      </c>
      <c r="B4" s="4">
        <v>3.08</v>
      </c>
      <c r="C4" s="4">
        <v>3.3</v>
      </c>
      <c r="D4" s="4">
        <v>3.53</v>
      </c>
      <c r="E4" s="4">
        <v>3.77</v>
      </c>
      <c r="F4" s="4">
        <v>4.02</v>
      </c>
      <c r="G4" s="4">
        <v>4.28</v>
      </c>
      <c r="H4" s="4">
        <v>4.54</v>
      </c>
      <c r="I4" s="4">
        <v>4.81</v>
      </c>
      <c r="J4" s="4">
        <v>5.09</v>
      </c>
    </row>
    <row r="5" ht="14.75" spans="1:10">
      <c r="A5" s="4" t="s">
        <v>3</v>
      </c>
      <c r="B5" s="4">
        <v>11.7</v>
      </c>
      <c r="C5" s="4">
        <v>11.91</v>
      </c>
      <c r="D5" s="4">
        <v>12.39</v>
      </c>
      <c r="E5" s="4">
        <v>13</v>
      </c>
      <c r="F5" s="4">
        <v>13.3</v>
      </c>
      <c r="G5" s="4">
        <v>13.71</v>
      </c>
      <c r="H5" s="4">
        <v>14.19</v>
      </c>
      <c r="I5" s="4">
        <v>14.7</v>
      </c>
      <c r="J5" s="4">
        <v>15.45</v>
      </c>
    </row>
    <row r="6" ht="14.75" spans="1:10">
      <c r="A6" s="4" t="s">
        <v>3</v>
      </c>
      <c r="B6" s="4">
        <v>4.3</v>
      </c>
      <c r="C6" s="4">
        <v>4.9</v>
      </c>
      <c r="D6" s="4">
        <v>5.5</v>
      </c>
      <c r="E6" s="4">
        <v>6</v>
      </c>
      <c r="F6" s="4">
        <v>6.3</v>
      </c>
      <c r="G6" s="4">
        <v>6.5</v>
      </c>
      <c r="H6" s="4">
        <v>6.7</v>
      </c>
      <c r="I6" s="4">
        <v>7.2</v>
      </c>
      <c r="J6" s="4">
        <v>7.5</v>
      </c>
    </row>
    <row r="7" ht="46" customHeight="1" spans="1:10">
      <c r="A7" s="4"/>
      <c r="B7" s="4">
        <f>(32.705/1000)*9.794*((B3/100)^2-(B5/100)^2)/(4*15.92/100)</f>
        <v>0.00297325499916772</v>
      </c>
      <c r="C7" s="4">
        <f t="shared" ref="C7:I7" si="0">(32.705/1000)*9.794*((C3/100)^2-(C5/100)^2)/(4*15.92/100)</f>
        <v>0.00344064102736542</v>
      </c>
      <c r="D7" s="4">
        <f t="shared" si="0"/>
        <v>0.00359586797589243</v>
      </c>
      <c r="E7" s="4">
        <f t="shared" si="0"/>
        <v>0.00358390151735239</v>
      </c>
      <c r="F7" s="4">
        <f t="shared" si="0"/>
        <v>0.00397926244263505</v>
      </c>
      <c r="G7" s="4">
        <f t="shared" si="0"/>
        <v>0.00423961213896718</v>
      </c>
      <c r="H7" s="4">
        <f t="shared" si="0"/>
        <v>0.00440852078872535</v>
      </c>
      <c r="I7" s="4">
        <f t="shared" si="0"/>
        <v>0.00453508155515075</v>
      </c>
      <c r="J7" s="4">
        <f>(32.705/1000)*9.794*((J3/100)^2-(J5/100)^2)/(4*15.92/100)</f>
        <v>0.00429049599545776</v>
      </c>
    </row>
    <row r="9" ht="26" customHeight="1" spans="1:7">
      <c r="A9" s="5" t="s">
        <v>4</v>
      </c>
      <c r="B9" s="6"/>
      <c r="C9" s="6"/>
      <c r="D9" s="6"/>
      <c r="E9" s="6"/>
      <c r="F9" s="6"/>
      <c r="G9" s="6"/>
    </row>
    <row r="10" ht="14.25" spans="1:7">
      <c r="A10" s="7" t="s">
        <v>1</v>
      </c>
      <c r="B10" s="8">
        <v>1</v>
      </c>
      <c r="C10" s="8">
        <v>2</v>
      </c>
      <c r="D10" s="8">
        <v>3</v>
      </c>
      <c r="E10" s="8">
        <v>4</v>
      </c>
      <c r="F10" s="8">
        <v>5</v>
      </c>
      <c r="G10" s="8">
        <v>6</v>
      </c>
    </row>
    <row r="11" ht="14.75" spans="1:7">
      <c r="A11" s="9" t="s">
        <v>2</v>
      </c>
      <c r="B11" s="9">
        <v>14</v>
      </c>
      <c r="C11" s="9">
        <v>14.5</v>
      </c>
      <c r="D11" s="9">
        <v>15</v>
      </c>
      <c r="E11" s="9">
        <v>15.5</v>
      </c>
      <c r="F11" s="9">
        <v>16</v>
      </c>
      <c r="G11" s="9">
        <v>16.5</v>
      </c>
    </row>
    <row r="12" ht="14.75" spans="1:7">
      <c r="A12" s="9" t="s">
        <v>3</v>
      </c>
      <c r="B12" s="9">
        <f>(32.0175+35.25)^2*B11^2/(16*32.705^2*15.92)</f>
        <v>3.25518213355527</v>
      </c>
      <c r="C12" s="9">
        <f>(32.0175+35.25)^2*C11^2/(16*32.705^2*15.92)</f>
        <v>3.49184716112242</v>
      </c>
      <c r="D12" s="9">
        <f>(32.0175+35.25)^2*D11^2/(16*32.705^2*15.92)</f>
        <v>3.73681622474457</v>
      </c>
      <c r="E12" s="9">
        <f>(32.0175+35.25)^2*E11^2/(16*32.705^2*15.92)</f>
        <v>3.9900893244217</v>
      </c>
      <c r="F12" s="9">
        <f>(32.0175+35.25)^2*F11^2/(16*32.705^2*15.92)</f>
        <v>4.25166646015382</v>
      </c>
      <c r="G12" s="9">
        <f>(32.0175+35.25)^2*G11^2/(16*32.705^2*15.92)</f>
        <v>4.52154763194093</v>
      </c>
    </row>
    <row r="13" ht="14.75" spans="1:7">
      <c r="A13" s="9" t="s">
        <v>3</v>
      </c>
      <c r="B13" s="9">
        <v>11.5</v>
      </c>
      <c r="C13" s="9">
        <v>12.15</v>
      </c>
      <c r="D13" s="9">
        <v>12.8</v>
      </c>
      <c r="E13" s="9">
        <v>13.21</v>
      </c>
      <c r="F13" s="9">
        <v>13.5</v>
      </c>
      <c r="G13" s="9">
        <v>13.71</v>
      </c>
    </row>
    <row r="14" ht="14.75" spans="1:7">
      <c r="A14" s="9" t="s">
        <v>3</v>
      </c>
      <c r="B14" s="9">
        <v>4.5</v>
      </c>
      <c r="C14" s="9">
        <v>4.9</v>
      </c>
      <c r="D14" s="9">
        <v>5.2</v>
      </c>
      <c r="E14" s="9">
        <v>5.5</v>
      </c>
      <c r="F14" s="9">
        <v>5.7</v>
      </c>
      <c r="G14" s="9">
        <v>6.5</v>
      </c>
    </row>
    <row r="15" ht="14.75" spans="1:7">
      <c r="A15" s="9"/>
      <c r="B15" s="9">
        <f>(B14-B12)/100*(35.25/1000)*9.794</f>
        <v>0.00429759052984579</v>
      </c>
      <c r="C15" s="9">
        <f>(C14-C12)/100*(35.25/1000)*9.794</f>
        <v>0.00486148573864836</v>
      </c>
      <c r="D15" s="9">
        <f>(D14-D12)/100*(35.25/1000)*9.794</f>
        <v>0.00505147371793522</v>
      </c>
      <c r="E15" s="9">
        <f>(E14-E12)/100*(35.25/1000)*9.794</f>
        <v>0.00521279296770638</v>
      </c>
      <c r="F15" s="9">
        <f>(F14-F12)/100*(35.25/1000)*9.794</f>
        <v>0.00500020498796185</v>
      </c>
      <c r="G15" s="9">
        <f>(G14-G12)/100*(35.25/1000)*9.794</f>
        <v>0.00683037927870162</v>
      </c>
    </row>
    <row r="17" ht="14.75" spans="1:7">
      <c r="A17" s="6" t="s">
        <v>5</v>
      </c>
      <c r="B17" s="6"/>
      <c r="C17" s="6"/>
      <c r="D17" s="6"/>
      <c r="E17" s="6"/>
      <c r="F17" s="6"/>
      <c r="G17" s="6"/>
    </row>
    <row r="18" ht="14.75" spans="1:7">
      <c r="A18" s="7" t="s">
        <v>1</v>
      </c>
      <c r="B18" s="8">
        <v>1</v>
      </c>
      <c r="C18" s="8">
        <v>2</v>
      </c>
      <c r="D18" s="8">
        <v>3</v>
      </c>
      <c r="E18" s="8">
        <v>4</v>
      </c>
      <c r="F18" s="8">
        <v>5</v>
      </c>
      <c r="G18" s="8">
        <v>6</v>
      </c>
    </row>
    <row r="19" ht="14.75" spans="1:7">
      <c r="A19" s="9" t="s">
        <v>2</v>
      </c>
      <c r="B19" s="9">
        <v>14</v>
      </c>
      <c r="C19" s="9">
        <v>14.5</v>
      </c>
      <c r="D19" s="9">
        <v>15</v>
      </c>
      <c r="E19" s="9">
        <v>15.5</v>
      </c>
      <c r="F19" s="9">
        <v>16</v>
      </c>
      <c r="G19" s="9">
        <v>16.5</v>
      </c>
    </row>
    <row r="20" ht="14.75" spans="1:7">
      <c r="A20" s="9" t="s">
        <v>3</v>
      </c>
      <c r="B20" s="9">
        <v>1.17</v>
      </c>
      <c r="C20" s="9">
        <v>1.25</v>
      </c>
      <c r="D20" s="9">
        <v>1.34</v>
      </c>
      <c r="E20" s="9">
        <v>1.43</v>
      </c>
      <c r="F20" s="9">
        <v>1.52</v>
      </c>
      <c r="G20" s="9">
        <v>1.62</v>
      </c>
    </row>
    <row r="21" ht="14.75" spans="1:7">
      <c r="A21" s="9" t="s">
        <v>3</v>
      </c>
      <c r="B21" s="9">
        <v>9.8</v>
      </c>
      <c r="C21" s="9">
        <v>10.41</v>
      </c>
      <c r="D21" s="9">
        <v>10.54</v>
      </c>
      <c r="E21" s="9">
        <v>10.68</v>
      </c>
      <c r="F21" s="9">
        <v>11.05</v>
      </c>
      <c r="G21" s="9">
        <v>12</v>
      </c>
    </row>
    <row r="22" ht="14.75" spans="1:7">
      <c r="A22" s="9" t="s">
        <v>3</v>
      </c>
      <c r="B22" s="9">
        <v>2.5</v>
      </c>
      <c r="C22" s="9">
        <v>2.6</v>
      </c>
      <c r="D22" s="9">
        <v>2.7</v>
      </c>
      <c r="E22" s="9">
        <v>2.8</v>
      </c>
      <c r="F22" s="9">
        <v>2.9</v>
      </c>
      <c r="G22" s="9">
        <v>3</v>
      </c>
    </row>
    <row r="23" ht="14.75" spans="1:7">
      <c r="A23" s="9"/>
      <c r="B23" s="9">
        <f>(B22-B20)/100*(11.288/1000)*9.794</f>
        <v>0.0014703771376</v>
      </c>
      <c r="C23" s="9">
        <f>(C22-C20)/100*(11.288/1000)*9.794</f>
        <v>0.001492488072</v>
      </c>
      <c r="D23" s="9">
        <f>(D22-D20)/100*(11.288/1000)*9.794</f>
        <v>0.0015035435392</v>
      </c>
      <c r="E23" s="9">
        <f>(E22-E20)/100*(11.288/1000)*9.794</f>
        <v>0.0015145990064</v>
      </c>
      <c r="F23" s="9">
        <f>(F22-F20)/100*(11.288/1000)*9.794</f>
        <v>0.0015256544736</v>
      </c>
      <c r="G23" s="9">
        <f>(G22-G20)/100*(11.288/1000)*9.794</f>
        <v>0.0015256544736</v>
      </c>
    </row>
  </sheetData>
  <mergeCells count="3">
    <mergeCell ref="A1:J1"/>
    <mergeCell ref="A9:G9"/>
    <mergeCell ref="A17:G1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2024-03-08T10:38:28Z</dcterms:created>
  <dcterms:modified xsi:type="dcterms:W3CDTF">2024-03-09T01:09:15Z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99403851A35F4209AF34168F9C9FDD17_11</vt:lpwstr>
  </property>
  <property fmtid="{D5CDD505-2E9C-101B-9397-08002B2CF9AE}" pid="3" name="KSOProductBuildVer">
    <vt:lpwstr>2052-12.1.0.15712</vt:lpwstr>
  </property>
</Properties>
</file>