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<sst xmlns="http://schemas.openxmlformats.org/spreadsheetml/2006/main" count="8" uniqueCount="5">
  <si>
    <t>I1</t>
  </si>
  <si>
    <t>I2</t>
  </si>
  <si>
    <t>I3</t>
  </si>
  <si>
    <t>AVE</t>
  </si>
  <si>
    <t>e/m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</si>
</sst>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zoomScale="160" zoomScaleNormal="160" topLeftCell="A23" workbookViewId="0">
      <selection activeCell="I15" sqref="I15"/>
    </sheetView>
  </sheetViews>
  <sheetFormatPr defaultColWidth="8.72727272727273" defaultRowHeight="14"/>
  <cols>
    <col min="3" max="3" width="12.8181818181818"/>
    <col min="8" max="11" width="12.8181818181818"/>
    <col min="12" max="12" width="14"/>
  </cols>
  <sheetData>
    <row r="1" spans="1:11">
      <c r="A1" t="s">
        <v>0</v>
      </c>
      <c r="B1">
        <v>0.453</v>
      </c>
      <c r="C1">
        <v>0.477</v>
      </c>
      <c r="D1">
        <v>0.464</v>
      </c>
      <c r="E1">
        <v>0.459</v>
      </c>
      <c r="F1">
        <v>0.478</v>
      </c>
      <c r="G1">
        <v>0.465</v>
      </c>
      <c r="H1">
        <f>AVERAGE(B1,C1,D1,E1,F1,G1)</f>
        <v>0.466</v>
      </c>
      <c r="J1" t="s">
        <v>0</v>
      </c>
      <c r="K1">
        <f>AVERAGE(H1,H5)</f>
        <v>0.465333333333333</v>
      </c>
    </row>
    <row r="2" spans="1:11">
      <c r="A2" t="s">
        <v>1</v>
      </c>
      <c r="B2">
        <v>0.909</v>
      </c>
      <c r="C2">
        <v>0.944</v>
      </c>
      <c r="D2">
        <v>0.936</v>
      </c>
      <c r="E2">
        <v>0.915</v>
      </c>
      <c r="F2">
        <v>0.953</v>
      </c>
      <c r="G2">
        <v>0.928</v>
      </c>
      <c r="H2">
        <f>AVERAGE(B2,C2,D2,E2,F2,G2)</f>
        <v>0.930833333333333</v>
      </c>
      <c r="J2" t="s">
        <v>1</v>
      </c>
      <c r="K2">
        <f>AVERAGE(H2,H6)</f>
        <v>0.93425</v>
      </c>
    </row>
    <row r="3" spans="1:11">
      <c r="A3" t="s">
        <v>2</v>
      </c>
      <c r="B3">
        <v>1.371</v>
      </c>
      <c r="C3">
        <v>1.413</v>
      </c>
      <c r="D3">
        <v>1.403</v>
      </c>
      <c r="E3">
        <v>1.407</v>
      </c>
      <c r="F3">
        <v>1.425</v>
      </c>
      <c r="G3">
        <v>1.405</v>
      </c>
      <c r="H3">
        <f>AVERAGE(B3,C3,D3,E3,F3,G3)</f>
        <v>1.404</v>
      </c>
      <c r="J3" t="s">
        <v>2</v>
      </c>
      <c r="K3">
        <f>AVERAGE(H3,H7)</f>
        <v>1.31775</v>
      </c>
    </row>
    <row r="4" spans="10:11">
      <c r="J4" t="s">
        <v>3</v>
      </c>
      <c r="K4">
        <f>(K1+K2+K3)/6</f>
        <v>0.452888888888889</v>
      </c>
    </row>
    <row r="5" spans="2:12">
      <c r="B5">
        <v>0.449</v>
      </c>
      <c r="C5">
        <v>0.475</v>
      </c>
      <c r="D5">
        <v>0.472</v>
      </c>
      <c r="E5">
        <v>0.457</v>
      </c>
      <c r="F5">
        <v>0.469</v>
      </c>
      <c r="G5">
        <v>0.466</v>
      </c>
      <c r="H5">
        <f t="shared" ref="H4:H15" si="0">AVERAGE(B5,C5,D5,E5,F5,G5)</f>
        <v>0.464666666666667</v>
      </c>
      <c r="J5" t="s">
        <v>4</v>
      </c>
      <c r="K5">
        <f>9.64*850/(1446*1446*K4*K4)</f>
        <v>0.019106275773317</v>
      </c>
      <c r="L5">
        <f>(1.7-1.75)/1.75</f>
        <v>-0.0285714285714286</v>
      </c>
    </row>
    <row r="6" spans="2:8">
      <c r="B6" s="1">
        <v>0.91</v>
      </c>
      <c r="C6">
        <v>0.963</v>
      </c>
      <c r="D6" s="1">
        <v>0.96</v>
      </c>
      <c r="E6">
        <v>0.933</v>
      </c>
      <c r="F6">
        <v>0.932</v>
      </c>
      <c r="G6">
        <v>0.928</v>
      </c>
      <c r="H6">
        <f t="shared" si="0"/>
        <v>0.937666666666667</v>
      </c>
    </row>
    <row r="7" spans="2:8">
      <c r="B7">
        <v>1.369</v>
      </c>
      <c r="C7">
        <v>1.422</v>
      </c>
      <c r="D7">
        <v>0.417</v>
      </c>
      <c r="E7">
        <v>1.388</v>
      </c>
      <c r="F7">
        <v>1.401</v>
      </c>
      <c r="G7">
        <v>1.392</v>
      </c>
      <c r="H7">
        <f t="shared" si="0"/>
        <v>1.2315</v>
      </c>
    </row>
    <row r="9" spans="2:11">
      <c r="B9">
        <v>0.503</v>
      </c>
      <c r="C9">
        <v>0.501</v>
      </c>
      <c r="D9">
        <v>0.505</v>
      </c>
      <c r="E9">
        <v>0.507</v>
      </c>
      <c r="F9">
        <v>0.503</v>
      </c>
      <c r="G9" s="1">
        <v>0.51</v>
      </c>
      <c r="H9">
        <f t="shared" si="0"/>
        <v>0.504833333333333</v>
      </c>
      <c r="K9">
        <f>AVERAGE(H9,H13)</f>
        <v>0.506416666666667</v>
      </c>
    </row>
    <row r="10" spans="2:11">
      <c r="B10">
        <v>1.005</v>
      </c>
      <c r="C10">
        <v>0.998</v>
      </c>
      <c r="D10">
        <v>1.017</v>
      </c>
      <c r="E10">
        <v>1.019</v>
      </c>
      <c r="F10">
        <v>1.008</v>
      </c>
      <c r="G10">
        <v>1.026</v>
      </c>
      <c r="H10">
        <f t="shared" si="0"/>
        <v>1.01216666666667</v>
      </c>
      <c r="K10">
        <f>AVERAGE(H10,H14)</f>
        <v>1.01566666666667</v>
      </c>
    </row>
    <row r="11" spans="2:11">
      <c r="B11">
        <v>1.504</v>
      </c>
      <c r="C11">
        <v>1.506</v>
      </c>
      <c r="D11">
        <v>1.513</v>
      </c>
      <c r="E11">
        <v>1.519</v>
      </c>
      <c r="F11">
        <v>1.508</v>
      </c>
      <c r="G11">
        <v>1.528</v>
      </c>
      <c r="H11">
        <f t="shared" si="0"/>
        <v>1.513</v>
      </c>
      <c r="K11">
        <f>AVERAGE(H11,H15)</f>
        <v>1.51966666666666</v>
      </c>
    </row>
    <row r="12" spans="11:11">
      <c r="K12">
        <f>(K9+K10+K11)/6</f>
        <v>0.506958333333334</v>
      </c>
    </row>
    <row r="13" spans="2:11">
      <c r="B13">
        <v>0.504</v>
      </c>
      <c r="C13">
        <v>0.512</v>
      </c>
      <c r="D13">
        <v>0.503</v>
      </c>
      <c r="E13">
        <v>0.509</v>
      </c>
      <c r="F13">
        <v>0.507</v>
      </c>
      <c r="G13">
        <v>0.513</v>
      </c>
      <c r="H13">
        <f t="shared" si="0"/>
        <v>0.508</v>
      </c>
      <c r="K13">
        <f>950*9.64/(1446*1446*K12*K12)</f>
        <v>0.0170419591749369</v>
      </c>
    </row>
    <row r="14" spans="2:8">
      <c r="B14">
        <v>1.015</v>
      </c>
      <c r="C14">
        <v>1.032</v>
      </c>
      <c r="D14">
        <v>1.003</v>
      </c>
      <c r="E14">
        <v>1.021</v>
      </c>
      <c r="F14">
        <v>1.014</v>
      </c>
      <c r="G14" s="1">
        <v>1.03</v>
      </c>
      <c r="H14">
        <f t="shared" si="0"/>
        <v>1.01916666666667</v>
      </c>
    </row>
    <row r="15" spans="2:8">
      <c r="B15">
        <v>1.518</v>
      </c>
      <c r="C15">
        <v>1.544</v>
      </c>
      <c r="D15">
        <v>1.505</v>
      </c>
      <c r="E15" s="1">
        <v>1.53</v>
      </c>
      <c r="F15">
        <v>1.519</v>
      </c>
      <c r="G15">
        <v>1.542</v>
      </c>
      <c r="H15">
        <f t="shared" si="0"/>
        <v>1.52633333333333</v>
      </c>
    </row>
    <row r="17" spans="2:10">
      <c r="B17">
        <v>850</v>
      </c>
      <c r="C17">
        <v>0.228</v>
      </c>
      <c r="D17">
        <v>0.235</v>
      </c>
      <c r="E17">
        <v>0.231</v>
      </c>
      <c r="F17">
        <v>0.238</v>
      </c>
      <c r="G17">
        <v>0.235</v>
      </c>
      <c r="H17">
        <v>0.234</v>
      </c>
      <c r="I17">
        <f t="shared" ref="I17:I22" si="1">AVERAGE(C17,E17,D17,F17,G17,H17)</f>
        <v>0.2335</v>
      </c>
      <c r="J17">
        <f>9.97*(B17)/(I17*I17)</f>
        <v>155431.956678237</v>
      </c>
    </row>
    <row r="18" spans="2:10">
      <c r="B18">
        <v>950</v>
      </c>
      <c r="C18">
        <v>0.256</v>
      </c>
      <c r="D18">
        <v>0.247</v>
      </c>
      <c r="E18">
        <v>0.251</v>
      </c>
      <c r="F18">
        <v>0.249</v>
      </c>
      <c r="G18">
        <v>0.252</v>
      </c>
      <c r="H18">
        <v>0.253</v>
      </c>
      <c r="I18">
        <f t="shared" si="1"/>
        <v>0.251333333333333</v>
      </c>
      <c r="J18">
        <f>9.97*(B18)/(I18*I18)</f>
        <v>149940.371071351</v>
      </c>
    </row>
    <row r="19" spans="2:10">
      <c r="B19">
        <v>850</v>
      </c>
      <c r="C19">
        <v>0.466</v>
      </c>
      <c r="D19">
        <v>0.467</v>
      </c>
      <c r="E19">
        <v>0.467</v>
      </c>
      <c r="F19">
        <v>0.461</v>
      </c>
      <c r="G19">
        <v>0.468</v>
      </c>
      <c r="H19">
        <v>0.465</v>
      </c>
      <c r="I19">
        <f t="shared" si="1"/>
        <v>0.465666666666667</v>
      </c>
      <c r="J19">
        <f>3.99*(B19)/(I19*I19)</f>
        <v>15640.1717762113</v>
      </c>
    </row>
    <row r="20" spans="2:10">
      <c r="B20">
        <v>950</v>
      </c>
      <c r="C20" s="1">
        <v>0.5</v>
      </c>
      <c r="D20">
        <v>0.499</v>
      </c>
      <c r="E20">
        <v>0.503</v>
      </c>
      <c r="F20">
        <v>0.501</v>
      </c>
      <c r="G20">
        <v>0.506</v>
      </c>
      <c r="H20">
        <v>0.501</v>
      </c>
      <c r="I20">
        <f t="shared" si="1"/>
        <v>0.501666666666667</v>
      </c>
      <c r="J20">
        <f>3.99*(B20)/(I20*I20)</f>
        <v>15061.4231630997</v>
      </c>
    </row>
    <row r="21" spans="2:10">
      <c r="B21">
        <v>850</v>
      </c>
      <c r="C21">
        <v>0.901</v>
      </c>
      <c r="D21">
        <v>0.911</v>
      </c>
      <c r="E21">
        <v>0.904</v>
      </c>
      <c r="F21">
        <v>0.912</v>
      </c>
      <c r="G21">
        <v>0.915</v>
      </c>
      <c r="H21">
        <v>0.917</v>
      </c>
      <c r="I21">
        <f t="shared" si="1"/>
        <v>0.91</v>
      </c>
      <c r="J21">
        <f>1.59*(B21)/(I21*I21)</f>
        <v>1632.04926941191</v>
      </c>
    </row>
    <row r="22" spans="2:10">
      <c r="B22">
        <v>950</v>
      </c>
      <c r="C22">
        <v>0.971</v>
      </c>
      <c r="D22">
        <v>0.967</v>
      </c>
      <c r="E22">
        <v>0.982</v>
      </c>
      <c r="F22">
        <v>0.978</v>
      </c>
      <c r="G22">
        <v>0.991</v>
      </c>
      <c r="H22" s="1">
        <v>0.96</v>
      </c>
      <c r="I22">
        <f t="shared" si="1"/>
        <v>0.974833333333333</v>
      </c>
      <c r="J22">
        <f>1.59*(B22)/(I22*I22)</f>
        <v>1589.49800678447</v>
      </c>
    </row>
    <row r="24" spans="2:3">
      <c r="B24">
        <v>1.754</v>
      </c>
      <c r="C24">
        <f>ABS(1.75-B24)/1.75*100</f>
        <v>0.228571428571429</v>
      </c>
    </row>
    <row r="25" spans="2:3">
      <c r="B25">
        <v>1.799</v>
      </c>
      <c r="C25">
        <f>ABS(1.75-B25)/1.75*100</f>
        <v>2.8</v>
      </c>
    </row>
    <row r="26" spans="2:3">
      <c r="B26">
        <v>1.764</v>
      </c>
      <c r="C26">
        <f>ABS(1.75-B26)/1.75*100</f>
        <v>0.800000000000001</v>
      </c>
    </row>
    <row r="27" spans="2:3">
      <c r="B27">
        <v>1.761</v>
      </c>
      <c r="C27">
        <f>ABS(1.75-B27)/1.75*100</f>
        <v>0.628571428571423</v>
      </c>
    </row>
    <row r="28" spans="2:3">
      <c r="B28">
        <v>1.732</v>
      </c>
      <c r="C28">
        <f>ABS(1.75-B28)/1.75*100</f>
        <v>1.02857142857143</v>
      </c>
    </row>
    <row r="29" spans="2:3">
      <c r="B29" s="1">
        <v>1.789</v>
      </c>
      <c r="C29">
        <f>ABS(1.75-B29)/1.75*100</f>
        <v>2.22857142857142</v>
      </c>
    </row>
    <row r="31" spans="1:9">
      <c r="A31">
        <v>850</v>
      </c>
      <c r="B31">
        <v>0.172</v>
      </c>
      <c r="C31">
        <v>0.173</v>
      </c>
      <c r="D31">
        <v>0.169</v>
      </c>
      <c r="E31">
        <v>0.173</v>
      </c>
      <c r="F31">
        <v>0.179</v>
      </c>
      <c r="G31">
        <v>0.175</v>
      </c>
      <c r="H31">
        <f>AVERAGE(B31,C31,D31,E31,F31,G31)</f>
        <v>0.1735</v>
      </c>
      <c r="I31">
        <f>SQRT(65.2*(A31)/(H31*H31))</f>
        <v>1356.85606924429</v>
      </c>
    </row>
    <row r="32" spans="1:9">
      <c r="A32">
        <v>950</v>
      </c>
      <c r="B32">
        <v>0.194</v>
      </c>
      <c r="C32">
        <v>0.193</v>
      </c>
      <c r="D32" s="1">
        <v>0.19</v>
      </c>
      <c r="E32">
        <v>0.196</v>
      </c>
      <c r="F32">
        <v>0.189</v>
      </c>
      <c r="G32">
        <v>0.194</v>
      </c>
      <c r="H32">
        <f>AVERAGE(B32,C32,D32,E32,F32,G32)</f>
        <v>0.192666666666667</v>
      </c>
      <c r="I32">
        <f>SQRT(65.2*(A32)/(H32*H32))</f>
        <v>1291.75162576421</v>
      </c>
    </row>
    <row r="33" spans="1:9">
      <c r="A33">
        <v>850</v>
      </c>
      <c r="B33">
        <v>0.336</v>
      </c>
      <c r="C33">
        <v>0.335</v>
      </c>
      <c r="D33">
        <v>0.328</v>
      </c>
      <c r="E33">
        <v>0.332</v>
      </c>
      <c r="F33">
        <v>0.339</v>
      </c>
      <c r="G33">
        <v>0.334</v>
      </c>
      <c r="H33">
        <f>AVERAGE(B33,C33,D33,E33,F33,G33)</f>
        <v>0.334</v>
      </c>
      <c r="I33">
        <f>SQRT(2.61*(A33)/(H33*H33))</f>
        <v>141.020824563841</v>
      </c>
    </row>
    <row r="34" spans="1:9">
      <c r="A34">
        <v>950</v>
      </c>
      <c r="B34">
        <v>0.356</v>
      </c>
      <c r="C34">
        <v>0.349</v>
      </c>
      <c r="D34">
        <v>0.351</v>
      </c>
      <c r="E34">
        <v>0.36</v>
      </c>
      <c r="F34">
        <v>0.347</v>
      </c>
      <c r="G34">
        <v>0.355</v>
      </c>
      <c r="H34">
        <f>AVERAGE(B34,C34,D34,E34,F34,G34)</f>
        <v>0.353</v>
      </c>
      <c r="I34">
        <f>SQRT(2.61*(A34)/(H34*H34))</f>
        <v>141.06112753001</v>
      </c>
    </row>
    <row r="35" spans="1:9">
      <c r="A35">
        <v>850</v>
      </c>
      <c r="B35">
        <v>0.641</v>
      </c>
      <c r="C35">
        <v>0.639</v>
      </c>
      <c r="D35">
        <v>0.638</v>
      </c>
      <c r="E35">
        <v>0.636</v>
      </c>
      <c r="F35">
        <v>0.631</v>
      </c>
      <c r="G35">
        <v>0.632</v>
      </c>
      <c r="H35">
        <f>AVERAGE(B35,C35,D35,E35,F35,G35)</f>
        <v>0.636166666666667</v>
      </c>
      <c r="I35">
        <f>SQRT(0.104*(A35)/(H35*H35))</f>
        <v>14.7793462177121</v>
      </c>
    </row>
    <row r="36" spans="1:9">
      <c r="A36">
        <v>950</v>
      </c>
      <c r="B36">
        <v>0.683</v>
      </c>
      <c r="C36">
        <v>0.678</v>
      </c>
      <c r="D36">
        <v>0.681</v>
      </c>
      <c r="E36">
        <v>0.677</v>
      </c>
      <c r="F36">
        <v>0.676</v>
      </c>
      <c r="G36">
        <v>0.682</v>
      </c>
      <c r="H36">
        <f>AVERAGE(B36,C36,D36,E36,F36,G36)</f>
        <v>0.6795</v>
      </c>
      <c r="I36">
        <f>SQRT(0.104*(A36)/(H36*H36))</f>
        <v>14.628136735587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2024-11-11T08:06:00Z</dcterms:created>
  <dcterms:modified xsi:type="dcterms:W3CDTF">2024-11-12T05:19:56Z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EA74832754544F55AB8C54161273FBAE_11</vt:lpwstr>
  </property>
  <property fmtid="{D5CDD505-2E9C-101B-9397-08002B2CF9AE}" pid="3" name="KSOProductBuildVer">
    <vt:lpwstr>2052-12.1.0.15712</vt:lpwstr>
  </property>
</Properties>
</file>