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<sst xmlns="http://schemas.openxmlformats.org/spreadsheetml/2006/main" count="9" uniqueCount="7">
  <si>
    <t>Us/V</t>
  </si>
  <si>
    <t>U0/V</t>
  </si>
  <si>
    <t>U/V</t>
  </si>
  <si>
    <t>U0-U/V</t>
  </si>
  <si>
    <t>B/mT</t>
  </si>
  <si>
    <t>K/(V/T)</t>
  </si>
  <si>
    <t>Delta K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</si>
</sst>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  <numFmt numFmtId="178" formatCode="0.000_ "/>
  </numFmts>
  <fonts count="21">
    <font>
      <sz val="11"/>
      <color theme="1"/>
      <name val="宋体"/>
      <charset val="134"/>
      <scheme val="minor"/>
    </font>
    <font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1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abSelected="1" zoomScale="145" zoomScaleNormal="145" workbookViewId="0">
      <selection activeCell="A1" sqref="A1:F16"/>
    </sheetView>
  </sheetViews>
  <sheetFormatPr defaultColWidth="8.72727272727273" defaultRowHeight="14"/>
  <cols>
    <col min="6" max="6" width="12.8181818181818"/>
    <col min="7" max="7" width="15.4181818181818" customWidth="1"/>
    <col min="9" max="9" width="15.9818181818182" customWidth="1"/>
    <col min="11" max="11" width="14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5</v>
      </c>
      <c r="H1" t="s">
        <v>5</v>
      </c>
      <c r="K1" t="s">
        <v>6</v>
      </c>
    </row>
    <row r="2" ht="14.75" spans="1:11">
      <c r="A2" s="2">
        <v>2.5</v>
      </c>
      <c r="B2" s="3">
        <v>1.225</v>
      </c>
      <c r="C2" s="3">
        <v>1.288</v>
      </c>
      <c r="D2" s="1">
        <f>C2-B2</f>
        <v>0.0629999999999999</v>
      </c>
      <c r="E2" s="1">
        <f>1.4366*2.5</f>
        <v>3.5915</v>
      </c>
      <c r="F2" s="1">
        <f>D2/E2*1000</f>
        <v>17.5414172351385</v>
      </c>
      <c r="G2">
        <v>20.5414172351385</v>
      </c>
      <c r="H2">
        <v>12.86</v>
      </c>
      <c r="I2">
        <v>47.500000007816</v>
      </c>
      <c r="K2">
        <f>(F2-33.41222331)/33.41222331*100</f>
        <v>-47.500000007816</v>
      </c>
    </row>
    <row r="3" ht="16.25" spans="1:16">
      <c r="A3" s="2">
        <v>3</v>
      </c>
      <c r="B3" s="1">
        <v>1.4735</v>
      </c>
      <c r="C3" s="1">
        <v>1.5523</v>
      </c>
      <c r="D3" s="1">
        <f t="shared" ref="D3:D16" si="0">C3-B3</f>
        <v>0.0788</v>
      </c>
      <c r="E3" s="1">
        <f t="shared" ref="E3:E16" si="1">1.4366*2.5</f>
        <v>3.5915</v>
      </c>
      <c r="F3" s="1">
        <f>D3/E3*1000</f>
        <v>21.9406933036336</v>
      </c>
      <c r="G3">
        <v>21.9406933036336</v>
      </c>
      <c r="H3">
        <v>16.43</v>
      </c>
      <c r="I3">
        <v>34.3333333431095</v>
      </c>
      <c r="K3">
        <f t="shared" ref="K3:K16" si="2">(F3-33.41222331)/33.41222331*100</f>
        <v>-34.3333333431095</v>
      </c>
      <c r="P3" s="5"/>
    </row>
    <row r="4" spans="1:11">
      <c r="A4" s="2">
        <v>3.5</v>
      </c>
      <c r="B4" s="1">
        <v>1.7284</v>
      </c>
      <c r="C4" s="3">
        <v>1.811</v>
      </c>
      <c r="D4" s="1">
        <f t="shared" si="0"/>
        <v>0.0826</v>
      </c>
      <c r="E4" s="1">
        <f t="shared" si="1"/>
        <v>3.5915</v>
      </c>
      <c r="F4" s="1">
        <f t="shared" ref="F3:F16" si="3">D4/E4*1000</f>
        <v>22.9987470416261</v>
      </c>
      <c r="G4">
        <v>24.9987470416261</v>
      </c>
      <c r="H4">
        <v>20.33</v>
      </c>
      <c r="I4">
        <v>31.1666666769142</v>
      </c>
      <c r="K4">
        <f t="shared" si="2"/>
        <v>-31.1666666769142</v>
      </c>
    </row>
    <row r="5" spans="1:11">
      <c r="A5" s="2">
        <v>4</v>
      </c>
      <c r="B5" s="1">
        <v>1.9726</v>
      </c>
      <c r="C5" s="1">
        <v>2.0748</v>
      </c>
      <c r="D5" s="1">
        <f t="shared" si="0"/>
        <v>0.1022</v>
      </c>
      <c r="E5" s="1">
        <f t="shared" si="1"/>
        <v>3.5915</v>
      </c>
      <c r="F5" s="1">
        <f t="shared" si="3"/>
        <v>28.4560768481136</v>
      </c>
      <c r="G5">
        <v>28.4560768481136</v>
      </c>
      <c r="H5">
        <v>23.81</v>
      </c>
      <c r="I5">
        <v>14.8333333460125</v>
      </c>
      <c r="K5">
        <f t="shared" si="2"/>
        <v>-14.8333333460125</v>
      </c>
    </row>
    <row r="6" spans="1:11">
      <c r="A6" s="2">
        <v>4.5</v>
      </c>
      <c r="B6" s="1">
        <v>2.2135</v>
      </c>
      <c r="C6" s="1">
        <v>2.332</v>
      </c>
      <c r="D6" s="1">
        <f t="shared" si="0"/>
        <v>0.1185</v>
      </c>
      <c r="E6" s="1">
        <f t="shared" si="1"/>
        <v>3.5915</v>
      </c>
      <c r="F6" s="1">
        <f t="shared" si="3"/>
        <v>32.9945705137129</v>
      </c>
      <c r="G6">
        <v>30.9945705137129</v>
      </c>
      <c r="H6">
        <v>27.29</v>
      </c>
      <c r="I6">
        <v>1.2500000147014</v>
      </c>
      <c r="K6">
        <f t="shared" si="2"/>
        <v>-1.2500000147014</v>
      </c>
    </row>
    <row r="7" spans="1:11">
      <c r="A7" s="2">
        <v>5</v>
      </c>
      <c r="B7" s="1">
        <v>2.467</v>
      </c>
      <c r="C7" s="1">
        <v>2.587</v>
      </c>
      <c r="D7" s="1">
        <f t="shared" si="0"/>
        <v>0.12</v>
      </c>
      <c r="E7" s="1">
        <f t="shared" si="1"/>
        <v>3.5915</v>
      </c>
      <c r="F7" s="1">
        <f t="shared" si="3"/>
        <v>33.4122233050258</v>
      </c>
      <c r="G7">
        <v>33.4122233050258</v>
      </c>
      <c r="H7">
        <v>30.63</v>
      </c>
      <c r="I7">
        <v>0</v>
      </c>
      <c r="K7">
        <f t="shared" si="2"/>
        <v>-1.48875061264046e-8</v>
      </c>
    </row>
    <row r="8" spans="1:11">
      <c r="A8" s="2">
        <v>5.5</v>
      </c>
      <c r="B8" s="1">
        <v>2.714</v>
      </c>
      <c r="C8" s="1">
        <v>2.845</v>
      </c>
      <c r="D8" s="1">
        <f t="shared" si="0"/>
        <v>0.131</v>
      </c>
      <c r="E8" s="1">
        <f t="shared" si="1"/>
        <v>3.5915</v>
      </c>
      <c r="F8" s="1">
        <f t="shared" si="3"/>
        <v>36.4750104413198</v>
      </c>
      <c r="G8">
        <v>36.2750104413198</v>
      </c>
      <c r="H8">
        <v>34.25</v>
      </c>
      <c r="I8">
        <v>9.16666665041449</v>
      </c>
      <c r="K8">
        <f t="shared" si="2"/>
        <v>9.16666665041449</v>
      </c>
    </row>
    <row r="9" spans="1:11">
      <c r="A9" s="2">
        <v>6</v>
      </c>
      <c r="B9" s="1">
        <v>2.952</v>
      </c>
      <c r="C9" s="1">
        <v>3.097</v>
      </c>
      <c r="D9" s="1">
        <f t="shared" si="0"/>
        <v>0.145</v>
      </c>
      <c r="E9" s="1">
        <f t="shared" si="1"/>
        <v>3.5915</v>
      </c>
      <c r="F9" s="1">
        <f t="shared" si="3"/>
        <v>40.3731031602395</v>
      </c>
      <c r="G9">
        <v>38.3731031602395</v>
      </c>
      <c r="H9">
        <v>37.31</v>
      </c>
      <c r="I9">
        <v>20.8333333153443</v>
      </c>
      <c r="K9">
        <f t="shared" si="2"/>
        <v>20.8333333153443</v>
      </c>
    </row>
    <row r="10" spans="1:11">
      <c r="A10" s="2">
        <v>6.5</v>
      </c>
      <c r="B10" s="1">
        <v>3.195</v>
      </c>
      <c r="C10" s="1">
        <v>3.348</v>
      </c>
      <c r="D10" s="1">
        <f t="shared" si="0"/>
        <v>0.153</v>
      </c>
      <c r="E10" s="1">
        <f t="shared" si="1"/>
        <v>3.5915</v>
      </c>
      <c r="F10" s="1">
        <f t="shared" si="3"/>
        <v>42.6005847139078</v>
      </c>
      <c r="G10">
        <v>40.6005847139078</v>
      </c>
      <c r="H10">
        <v>40.37</v>
      </c>
      <c r="I10">
        <v>27.4999999810184</v>
      </c>
      <c r="K10">
        <f t="shared" si="2"/>
        <v>27.4999999810184</v>
      </c>
    </row>
    <row r="11" spans="1:11">
      <c r="A11" s="2">
        <v>7</v>
      </c>
      <c r="B11" s="1">
        <v>3.443</v>
      </c>
      <c r="C11" s="1">
        <v>3.604</v>
      </c>
      <c r="D11" s="1">
        <f t="shared" si="0"/>
        <v>0.161</v>
      </c>
      <c r="E11" s="1">
        <f t="shared" si="1"/>
        <v>3.5915</v>
      </c>
      <c r="F11" s="1">
        <f t="shared" si="3"/>
        <v>44.8280662675762</v>
      </c>
      <c r="G11">
        <v>42.8280662675762</v>
      </c>
      <c r="H11">
        <v>43.71</v>
      </c>
      <c r="I11">
        <v>34.1666666466926</v>
      </c>
      <c r="K11">
        <f t="shared" si="2"/>
        <v>34.1666666466926</v>
      </c>
    </row>
    <row r="12" spans="1:11">
      <c r="A12" s="2">
        <v>7.5</v>
      </c>
      <c r="B12" s="1">
        <v>3.683</v>
      </c>
      <c r="C12" s="1">
        <v>3.856</v>
      </c>
      <c r="D12" s="1">
        <f t="shared" si="0"/>
        <v>0.173</v>
      </c>
      <c r="E12" s="1">
        <f t="shared" si="1"/>
        <v>3.5915</v>
      </c>
      <c r="F12" s="1">
        <f t="shared" si="3"/>
        <v>48.1692885980788</v>
      </c>
      <c r="G12">
        <v>45.7692885980788</v>
      </c>
      <c r="H12">
        <v>46.5</v>
      </c>
      <c r="I12">
        <v>44.1666666452038</v>
      </c>
      <c r="K12">
        <f t="shared" si="2"/>
        <v>44.1666666452038</v>
      </c>
    </row>
    <row r="13" spans="1:11">
      <c r="A13" s="2">
        <v>8</v>
      </c>
      <c r="B13" s="4">
        <v>3.93</v>
      </c>
      <c r="C13" s="4">
        <v>4.1</v>
      </c>
      <c r="D13" s="1">
        <f t="shared" si="0"/>
        <v>0.169999999999999</v>
      </c>
      <c r="E13" s="1">
        <f t="shared" si="1"/>
        <v>3.5915</v>
      </c>
      <c r="F13" s="1">
        <f t="shared" si="3"/>
        <v>47.3339830154529</v>
      </c>
      <c r="G13">
        <v>47.3339830154529</v>
      </c>
      <c r="H13">
        <v>49.28</v>
      </c>
      <c r="I13">
        <v>41.6666666455752</v>
      </c>
      <c r="K13">
        <f t="shared" si="2"/>
        <v>41.6666666455752</v>
      </c>
    </row>
    <row r="14" spans="1:11">
      <c r="A14" s="2">
        <v>8.5</v>
      </c>
      <c r="B14" s="1">
        <v>4.176</v>
      </c>
      <c r="C14" s="1">
        <v>4.343</v>
      </c>
      <c r="D14" s="1">
        <f t="shared" si="0"/>
        <v>0.167</v>
      </c>
      <c r="E14" s="1">
        <f t="shared" si="1"/>
        <v>3.5915</v>
      </c>
      <c r="F14" s="1">
        <f t="shared" si="3"/>
        <v>46.4986774328275</v>
      </c>
      <c r="G14">
        <v>48.9986774328275</v>
      </c>
      <c r="H14">
        <v>52.35</v>
      </c>
      <c r="I14">
        <v>39.1666666459482</v>
      </c>
      <c r="K14">
        <f t="shared" si="2"/>
        <v>39.1666666459482</v>
      </c>
    </row>
    <row r="15" spans="1:11">
      <c r="A15" s="2">
        <v>9</v>
      </c>
      <c r="B15" s="1">
        <v>4.414</v>
      </c>
      <c r="C15" s="1">
        <v>4.593</v>
      </c>
      <c r="D15" s="1">
        <f t="shared" si="0"/>
        <v>0.179</v>
      </c>
      <c r="E15" s="1">
        <f t="shared" si="1"/>
        <v>3.5915</v>
      </c>
      <c r="F15" s="1">
        <f t="shared" si="3"/>
        <v>49.8398997633301</v>
      </c>
      <c r="G15">
        <v>51.8398997633301</v>
      </c>
      <c r="H15">
        <v>55.13</v>
      </c>
      <c r="I15">
        <v>49.1666666444595</v>
      </c>
      <c r="K15">
        <f t="shared" si="2"/>
        <v>49.1666666444595</v>
      </c>
    </row>
    <row r="16" spans="1:11">
      <c r="A16" s="2">
        <v>9.5</v>
      </c>
      <c r="B16" s="1">
        <v>4.655</v>
      </c>
      <c r="C16" s="1">
        <v>4.842</v>
      </c>
      <c r="D16" s="1">
        <f t="shared" si="0"/>
        <v>0.186999999999999</v>
      </c>
      <c r="E16" s="1">
        <f t="shared" si="1"/>
        <v>3.5915</v>
      </c>
      <c r="F16" s="1">
        <f t="shared" si="3"/>
        <v>52.0673813169982</v>
      </c>
      <c r="G16">
        <v>54.0673813169982</v>
      </c>
      <c r="H16">
        <v>58.19</v>
      </c>
      <c r="I16">
        <v>55.8333333101328</v>
      </c>
      <c r="K16">
        <f t="shared" si="2"/>
        <v>55.8333333101328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Clown</dc:creator>
  <cp:lastModifiedBy>陈卓妍</cp:lastModifiedBy>
  <dcterms:created xsi:type="dcterms:W3CDTF">2024-04-12T11:49:00Z</dcterms:created>
  <dcterms:modified xsi:type="dcterms:W3CDTF">2024-04-12T14:41:54Z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29AEE51B7E024B26ACF69F8FC645F201_11</vt:lpwstr>
  </property>
  <property fmtid="{D5CDD505-2E9C-101B-9397-08002B2CF9AE}" pid="3" name="KSOProductBuildVer">
    <vt:lpwstr>2052-12.1.0.15712</vt:lpwstr>
  </property>
</Properties>
</file>